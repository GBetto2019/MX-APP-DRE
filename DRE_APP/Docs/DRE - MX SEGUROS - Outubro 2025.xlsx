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D72F6E3F-3C03-4D0F-91C7-FA9C4A3A3F11}" xr6:coauthVersionLast="47" xr6:coauthVersionMax="47" xr10:uidLastSave="{00000000-0000-0000-0000-000000000000}"/>
  <bookViews>
    <workbookView xWindow="-108" yWindow="-108" windowWidth="23256" windowHeight="12456" tabRatio="938" activeTab="2" xr2:uid="{00000000-000D-0000-FFFF-FFFF00000000}"/>
  </bookViews>
  <sheets>
    <sheet name="Vendas" sheetId="14" r:id="rId1"/>
    <sheet name="Formação de Preços de Venda" sheetId="12" r:id="rId2"/>
    <sheet name="2025 - Previsto x Realizado" sheetId="21" r:id="rId3"/>
    <sheet name="2023 - Previsto x Realizado" sheetId="19" state="hidden" r:id="rId4"/>
  </sheets>
  <definedNames>
    <definedName name="_xlnm.Print_Area" localSheetId="0">Vendas!$A$1:$W$58</definedName>
    <definedName name="_xlnm.Database" localSheetId="3">#REF!</definedName>
    <definedName name="_xlnm.Database" localSheetId="2">#REF!</definedName>
    <definedName name="_xlnm.Database" localSheetId="1">#REF!</definedName>
    <definedName name="_xlnm.Database" localSheetId="0">#REF!</definedName>
    <definedName name="_xlnm.Database">#REF!</definedName>
    <definedName name="XXXX" localSheetId="3">#REF!</definedName>
    <definedName name="XXXX" localSheetId="2">#REF!</definedName>
    <definedName name="XXXX" localSheetId="1">#REF!</definedName>
    <definedName name="XXXX" localSheetId="0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9" i="21" l="1"/>
  <c r="CP9" i="21"/>
  <c r="CH9" i="21"/>
  <c r="BZ9" i="21"/>
  <c r="BR9" i="21"/>
  <c r="BJ9" i="21"/>
  <c r="BB9" i="21"/>
  <c r="AT9" i="21"/>
  <c r="AL9" i="21"/>
  <c r="AD9" i="21"/>
  <c r="E9" i="21"/>
  <c r="D9" i="21"/>
  <c r="BV122" i="21"/>
  <c r="BV112" i="21"/>
  <c r="BV107" i="21"/>
  <c r="BV91" i="21"/>
  <c r="BV82" i="21"/>
  <c r="BV75" i="21"/>
  <c r="BV50" i="21"/>
  <c r="BV43" i="21"/>
  <c r="BV27" i="21"/>
  <c r="BV14" i="21"/>
  <c r="BV23" i="21" s="1"/>
  <c r="BV103" i="21" s="1"/>
  <c r="BV7" i="21"/>
  <c r="BV130" i="21" s="1"/>
  <c r="BN122" i="21"/>
  <c r="BN112" i="21"/>
  <c r="BN107" i="21"/>
  <c r="BN91" i="21"/>
  <c r="BN82" i="21"/>
  <c r="BN75" i="21"/>
  <c r="BN50" i="21"/>
  <c r="BN43" i="21"/>
  <c r="BN27" i="21"/>
  <c r="BN14" i="21"/>
  <c r="BN23" i="21" s="1"/>
  <c r="BN103" i="21" s="1"/>
  <c r="BN7" i="21"/>
  <c r="BN130" i="21" s="1"/>
  <c r="BF122" i="21"/>
  <c r="BF112" i="21"/>
  <c r="BF107" i="21"/>
  <c r="BF91" i="21"/>
  <c r="BF82" i="21"/>
  <c r="BF75" i="21"/>
  <c r="BF50" i="21"/>
  <c r="BF43" i="21"/>
  <c r="BF27" i="21"/>
  <c r="BF14" i="21"/>
  <c r="BF23" i="21" s="1"/>
  <c r="BF103" i="21" s="1"/>
  <c r="BF7" i="21"/>
  <c r="BF130" i="21" s="1"/>
  <c r="AX122" i="21"/>
  <c r="AX112" i="21"/>
  <c r="AX107" i="21"/>
  <c r="AX91" i="21"/>
  <c r="AX82" i="21"/>
  <c r="AX75" i="21"/>
  <c r="AX50" i="21"/>
  <c r="AX43" i="21"/>
  <c r="AX27" i="21"/>
  <c r="AX14" i="21"/>
  <c r="AX23" i="21" s="1"/>
  <c r="AX103" i="21" s="1"/>
  <c r="AX7" i="21"/>
  <c r="AX130" i="21" s="1"/>
  <c r="AP122" i="21"/>
  <c r="AP112" i="21"/>
  <c r="AP107" i="21"/>
  <c r="AP91" i="21"/>
  <c r="AP82" i="21"/>
  <c r="AP75" i="21"/>
  <c r="AP50" i="21"/>
  <c r="AP43" i="21"/>
  <c r="AP27" i="21"/>
  <c r="AP14" i="21"/>
  <c r="AP23" i="21" s="1"/>
  <c r="AP103" i="21" s="1"/>
  <c r="AP7" i="21"/>
  <c r="AP130" i="21" s="1"/>
  <c r="AH122" i="21"/>
  <c r="AH112" i="21"/>
  <c r="AH107" i="21"/>
  <c r="AH91" i="21"/>
  <c r="AH82" i="21"/>
  <c r="AH75" i="21"/>
  <c r="AH50" i="21"/>
  <c r="AH43" i="21"/>
  <c r="AH27" i="21"/>
  <c r="AH14" i="21"/>
  <c r="AH23" i="21" s="1"/>
  <c r="AH103" i="21" s="1"/>
  <c r="AH7" i="21"/>
  <c r="AH130" i="21" s="1"/>
  <c r="Z122" i="21"/>
  <c r="Z112" i="21"/>
  <c r="Z107" i="21"/>
  <c r="Z91" i="21"/>
  <c r="Z82" i="21"/>
  <c r="Z75" i="21"/>
  <c r="Z50" i="21"/>
  <c r="Z43" i="21"/>
  <c r="Z27" i="21"/>
  <c r="Z14" i="21"/>
  <c r="Z23" i="21" s="1"/>
  <c r="Z103" i="21" s="1"/>
  <c r="Z7" i="21"/>
  <c r="Z130" i="21" s="1"/>
  <c r="R122" i="21"/>
  <c r="R112" i="21"/>
  <c r="R107" i="21"/>
  <c r="R91" i="21"/>
  <c r="R82" i="21"/>
  <c r="R75" i="21"/>
  <c r="R50" i="21"/>
  <c r="R43" i="21"/>
  <c r="R27" i="21"/>
  <c r="R14" i="21"/>
  <c r="R23" i="21" s="1"/>
  <c r="R103" i="21" s="1"/>
  <c r="R7" i="21"/>
  <c r="R130" i="21" s="1"/>
  <c r="N98" i="21"/>
  <c r="E48" i="21"/>
  <c r="D48" i="21"/>
  <c r="E46" i="21"/>
  <c r="D46" i="21"/>
  <c r="Z101" i="21" l="1"/>
  <c r="Z25" i="21" s="1"/>
  <c r="BN101" i="21"/>
  <c r="BN25" i="21" s="1"/>
  <c r="AP101" i="21"/>
  <c r="AP25" i="21" s="1"/>
  <c r="BV101" i="21"/>
  <c r="BV25" i="21" s="1"/>
  <c r="AX101" i="21"/>
  <c r="AX25" i="21" s="1"/>
  <c r="R101" i="21"/>
  <c r="R25" i="21" s="1"/>
  <c r="BF101" i="21"/>
  <c r="BF25" i="21" s="1"/>
  <c r="AH101" i="21"/>
  <c r="AH25" i="21" s="1"/>
  <c r="BV128" i="21"/>
  <c r="BV126" i="21"/>
  <c r="BN128" i="21"/>
  <c r="BN126" i="21"/>
  <c r="BF126" i="21"/>
  <c r="BF128" i="21"/>
  <c r="AX126" i="21"/>
  <c r="AX128" i="21"/>
  <c r="AP128" i="21"/>
  <c r="AP126" i="21"/>
  <c r="AH126" i="21"/>
  <c r="AH128" i="21"/>
  <c r="Z128" i="21"/>
  <c r="Z126" i="21"/>
  <c r="R128" i="21"/>
  <c r="R126" i="21"/>
  <c r="D96" i="21"/>
  <c r="N96" i="21" s="1"/>
  <c r="AD30" i="21"/>
  <c r="D76" i="21"/>
  <c r="E77" i="21"/>
  <c r="AD92" i="21"/>
  <c r="E10" i="21"/>
  <c r="V15" i="21"/>
  <c r="E31" i="21"/>
  <c r="CX124" i="21"/>
  <c r="CV124" i="21"/>
  <c r="CP124" i="21"/>
  <c r="CN124" i="21"/>
  <c r="CH124" i="21"/>
  <c r="CF124" i="21"/>
  <c r="BZ124" i="21"/>
  <c r="BX124" i="21"/>
  <c r="BR124" i="21"/>
  <c r="BP124" i="21"/>
  <c r="BJ124" i="21"/>
  <c r="BH124" i="21"/>
  <c r="BB124" i="21"/>
  <c r="AZ124" i="21"/>
  <c r="AT124" i="21"/>
  <c r="AR124" i="21"/>
  <c r="AL124" i="21"/>
  <c r="AJ124" i="21"/>
  <c r="AD124" i="21"/>
  <c r="AB124" i="21"/>
  <c r="V124" i="21"/>
  <c r="T124" i="21"/>
  <c r="N124" i="21"/>
  <c r="E124" i="21"/>
  <c r="D124" i="21"/>
  <c r="CX123" i="21"/>
  <c r="CV123" i="21"/>
  <c r="CP123" i="21"/>
  <c r="CN123" i="21"/>
  <c r="CH123" i="21"/>
  <c r="CF123" i="21"/>
  <c r="BZ123" i="21"/>
  <c r="BX123" i="21"/>
  <c r="BR123" i="21"/>
  <c r="BP123" i="21"/>
  <c r="BJ123" i="21"/>
  <c r="BH123" i="21"/>
  <c r="BB123" i="21"/>
  <c r="AZ123" i="21"/>
  <c r="AT123" i="21"/>
  <c r="AR123" i="21"/>
  <c r="AL123" i="21"/>
  <c r="AJ123" i="21"/>
  <c r="AD123" i="21"/>
  <c r="AB123" i="21"/>
  <c r="V123" i="21"/>
  <c r="T123" i="21"/>
  <c r="N123" i="21"/>
  <c r="E123" i="21"/>
  <c r="F123" i="21" s="1"/>
  <c r="D123" i="21"/>
  <c r="CT122" i="21"/>
  <c r="CX122" i="21" s="1"/>
  <c r="CR122" i="21"/>
  <c r="CL122" i="21"/>
  <c r="CP122" i="21" s="1"/>
  <c r="CJ122" i="21"/>
  <c r="CD122" i="21"/>
  <c r="CH122" i="21" s="1"/>
  <c r="CB122" i="21"/>
  <c r="BZ122" i="21"/>
  <c r="BT122" i="21"/>
  <c r="BR122" i="21"/>
  <c r="BL122" i="21"/>
  <c r="BJ122" i="21"/>
  <c r="BD122" i="21"/>
  <c r="BB122" i="21"/>
  <c r="AV122" i="21"/>
  <c r="AT122" i="21"/>
  <c r="AN122" i="21"/>
  <c r="AL122" i="21"/>
  <c r="AF122" i="21"/>
  <c r="AD122" i="21"/>
  <c r="X122" i="21"/>
  <c r="V122" i="21"/>
  <c r="P122" i="21"/>
  <c r="J122" i="21"/>
  <c r="H122" i="21"/>
  <c r="CX118" i="21"/>
  <c r="CV118" i="21"/>
  <c r="CP118" i="21"/>
  <c r="CN118" i="21"/>
  <c r="CH118" i="21"/>
  <c r="CF118" i="21"/>
  <c r="BZ118" i="21"/>
  <c r="BX118" i="21"/>
  <c r="BR118" i="21"/>
  <c r="BP118" i="21"/>
  <c r="BJ118" i="21"/>
  <c r="BH118" i="21"/>
  <c r="BB118" i="21"/>
  <c r="AZ118" i="21"/>
  <c r="AT118" i="21"/>
  <c r="AR118" i="21"/>
  <c r="AL118" i="21"/>
  <c r="AJ118" i="21"/>
  <c r="AD118" i="21"/>
  <c r="AB118" i="21"/>
  <c r="V118" i="21"/>
  <c r="T118" i="21"/>
  <c r="N118" i="21"/>
  <c r="E118" i="21"/>
  <c r="F118" i="21" s="1"/>
  <c r="D118" i="21"/>
  <c r="CX117" i="21"/>
  <c r="CV117" i="21"/>
  <c r="CP117" i="21"/>
  <c r="CN117" i="21"/>
  <c r="CH117" i="21"/>
  <c r="CF117" i="21"/>
  <c r="BZ117" i="21"/>
  <c r="BX117" i="21"/>
  <c r="BR117" i="21"/>
  <c r="BP117" i="21"/>
  <c r="BJ117" i="21"/>
  <c r="BH117" i="21"/>
  <c r="BB117" i="21"/>
  <c r="AZ117" i="21"/>
  <c r="AT117" i="21"/>
  <c r="AR117" i="21"/>
  <c r="AL117" i="21"/>
  <c r="AJ117" i="21"/>
  <c r="AD117" i="21"/>
  <c r="AB117" i="21"/>
  <c r="V117" i="21"/>
  <c r="T117" i="21"/>
  <c r="N117" i="21"/>
  <c r="E117" i="21"/>
  <c r="F117" i="21" s="1"/>
  <c r="D117" i="21"/>
  <c r="CX116" i="21"/>
  <c r="CV116" i="21"/>
  <c r="CP116" i="21"/>
  <c r="CN116" i="21"/>
  <c r="CH116" i="21"/>
  <c r="CF116" i="21"/>
  <c r="BZ116" i="21"/>
  <c r="BX116" i="21"/>
  <c r="BR116" i="21"/>
  <c r="BP116" i="21"/>
  <c r="BJ116" i="21"/>
  <c r="BH116" i="21"/>
  <c r="BB116" i="21"/>
  <c r="AZ116" i="21"/>
  <c r="AT116" i="21"/>
  <c r="AR116" i="21"/>
  <c r="AL116" i="21"/>
  <c r="AD116" i="21"/>
  <c r="V116" i="21"/>
  <c r="T116" i="21"/>
  <c r="N116" i="21"/>
  <c r="E116" i="21"/>
  <c r="D116" i="21"/>
  <c r="CX115" i="21"/>
  <c r="CV115" i="21"/>
  <c r="CP115" i="21"/>
  <c r="CN115" i="21"/>
  <c r="CH115" i="21"/>
  <c r="CF115" i="21"/>
  <c r="BZ115" i="21"/>
  <c r="BX115" i="21"/>
  <c r="BR115" i="21"/>
  <c r="BP115" i="21"/>
  <c r="BJ115" i="21"/>
  <c r="BH115" i="21"/>
  <c r="BB115" i="21"/>
  <c r="AZ115" i="21"/>
  <c r="AT115" i="21"/>
  <c r="AR115" i="21"/>
  <c r="AL115" i="21"/>
  <c r="AD115" i="21"/>
  <c r="V115" i="21"/>
  <c r="E115" i="21"/>
  <c r="D115" i="21"/>
  <c r="N115" i="21" s="1"/>
  <c r="CX114" i="21"/>
  <c r="CV114" i="21"/>
  <c r="CP114" i="21"/>
  <c r="CN114" i="21"/>
  <c r="CH114" i="21"/>
  <c r="CF114" i="21"/>
  <c r="BZ114" i="21"/>
  <c r="BX114" i="21"/>
  <c r="BR114" i="21"/>
  <c r="BP114" i="21"/>
  <c r="BJ114" i="21"/>
  <c r="BH114" i="21"/>
  <c r="BB114" i="21"/>
  <c r="AZ114" i="21"/>
  <c r="AT114" i="21"/>
  <c r="AR114" i="21"/>
  <c r="AL114" i="21"/>
  <c r="AJ114" i="21"/>
  <c r="AD114" i="21"/>
  <c r="AB114" i="21"/>
  <c r="V114" i="21"/>
  <c r="T114" i="21"/>
  <c r="N114" i="21"/>
  <c r="E114" i="21"/>
  <c r="F114" i="21" s="1"/>
  <c r="D114" i="21"/>
  <c r="CX113" i="21"/>
  <c r="CV113" i="21"/>
  <c r="CP113" i="21"/>
  <c r="CN113" i="21"/>
  <c r="CH113" i="21"/>
  <c r="CF113" i="21"/>
  <c r="BZ113" i="21"/>
  <c r="BX113" i="21"/>
  <c r="BR113" i="21"/>
  <c r="BP113" i="21"/>
  <c r="BJ113" i="21"/>
  <c r="BH113" i="21"/>
  <c r="BB113" i="21"/>
  <c r="AZ113" i="21"/>
  <c r="AT113" i="21"/>
  <c r="AR113" i="21"/>
  <c r="AL113" i="21"/>
  <c r="AJ113" i="21"/>
  <c r="AD113" i="21"/>
  <c r="AB113" i="21"/>
  <c r="V113" i="21"/>
  <c r="T113" i="21"/>
  <c r="N113" i="21"/>
  <c r="E113" i="21"/>
  <c r="D113" i="21"/>
  <c r="CT112" i="21"/>
  <c r="CX112" i="21" s="1"/>
  <c r="CR112" i="21"/>
  <c r="CL112" i="21"/>
  <c r="CP112" i="21" s="1"/>
  <c r="CJ112" i="21"/>
  <c r="CD112" i="21"/>
  <c r="CH112" i="21" s="1"/>
  <c r="CB112" i="21"/>
  <c r="BZ112" i="21"/>
  <c r="BT112" i="21"/>
  <c r="BR112" i="21"/>
  <c r="BL112" i="21"/>
  <c r="BJ112" i="21"/>
  <c r="BD112" i="21"/>
  <c r="BB112" i="21"/>
  <c r="AV112" i="21"/>
  <c r="AT112" i="21"/>
  <c r="AN112" i="21"/>
  <c r="AF112" i="21"/>
  <c r="X112" i="21"/>
  <c r="P112" i="21"/>
  <c r="J112" i="21"/>
  <c r="H112" i="21"/>
  <c r="CX110" i="21"/>
  <c r="CV110" i="21"/>
  <c r="CP110" i="21"/>
  <c r="CN110" i="21"/>
  <c r="CH110" i="21"/>
  <c r="CF110" i="21"/>
  <c r="BZ110" i="21"/>
  <c r="BX110" i="21"/>
  <c r="BR110" i="21"/>
  <c r="BP110" i="21"/>
  <c r="BJ110" i="21"/>
  <c r="BH110" i="21"/>
  <c r="BB110" i="21"/>
  <c r="AZ110" i="21"/>
  <c r="AT110" i="21"/>
  <c r="AR110" i="21"/>
  <c r="AL110" i="21"/>
  <c r="AJ110" i="21"/>
  <c r="AD110" i="21"/>
  <c r="AB110" i="21"/>
  <c r="V110" i="21"/>
  <c r="T110" i="21"/>
  <c r="N110" i="21"/>
  <c r="E110" i="21"/>
  <c r="F110" i="21" s="1"/>
  <c r="D110" i="21"/>
  <c r="CX109" i="21"/>
  <c r="CV109" i="21"/>
  <c r="CP109" i="21"/>
  <c r="CN109" i="21"/>
  <c r="CH109" i="21"/>
  <c r="CF109" i="21"/>
  <c r="BZ109" i="21"/>
  <c r="BX109" i="21"/>
  <c r="BR109" i="21"/>
  <c r="BP109" i="21"/>
  <c r="BJ109" i="21"/>
  <c r="BH109" i="21"/>
  <c r="BB109" i="21"/>
  <c r="AZ109" i="21"/>
  <c r="AT109" i="21"/>
  <c r="AR109" i="21"/>
  <c r="AL109" i="21"/>
  <c r="AJ109" i="21"/>
  <c r="AD109" i="21"/>
  <c r="AB109" i="21"/>
  <c r="V109" i="21"/>
  <c r="T109" i="21"/>
  <c r="N109" i="21"/>
  <c r="E109" i="21"/>
  <c r="F109" i="21" s="1"/>
  <c r="D109" i="21"/>
  <c r="CX108" i="21"/>
  <c r="CV108" i="21"/>
  <c r="CP108" i="21"/>
  <c r="CN108" i="21"/>
  <c r="CH108" i="21"/>
  <c r="CF108" i="21"/>
  <c r="BZ108" i="21"/>
  <c r="BX108" i="21"/>
  <c r="BR108" i="21"/>
  <c r="BP108" i="21"/>
  <c r="BJ108" i="21"/>
  <c r="BH108" i="21"/>
  <c r="BB108" i="21"/>
  <c r="AZ108" i="21"/>
  <c r="AT108" i="21"/>
  <c r="AR108" i="21"/>
  <c r="AL108" i="21"/>
  <c r="AJ108" i="21"/>
  <c r="AD108" i="21"/>
  <c r="AB108" i="21"/>
  <c r="V108" i="21"/>
  <c r="T108" i="21"/>
  <c r="N108" i="21"/>
  <c r="E108" i="21"/>
  <c r="F108" i="21" s="1"/>
  <c r="D108" i="21"/>
  <c r="CT107" i="21"/>
  <c r="CX107" i="21" s="1"/>
  <c r="CR107" i="21"/>
  <c r="CL107" i="21"/>
  <c r="CP107" i="21" s="1"/>
  <c r="CJ107" i="21"/>
  <c r="CD107" i="21"/>
  <c r="CH107" i="21" s="1"/>
  <c r="CB107" i="21"/>
  <c r="BZ107" i="21"/>
  <c r="BT107" i="21"/>
  <c r="BR107" i="21"/>
  <c r="BL107" i="21"/>
  <c r="BJ107" i="21"/>
  <c r="BD107" i="21"/>
  <c r="BB107" i="21"/>
  <c r="AV107" i="21"/>
  <c r="AT107" i="21"/>
  <c r="AN107" i="21"/>
  <c r="AL107" i="21"/>
  <c r="AF107" i="21"/>
  <c r="AD107" i="21"/>
  <c r="X107" i="21"/>
  <c r="V107" i="21"/>
  <c r="P107" i="21"/>
  <c r="J107" i="21"/>
  <c r="H107" i="21"/>
  <c r="CX97" i="21"/>
  <c r="CV97" i="21"/>
  <c r="CP97" i="21"/>
  <c r="CN97" i="21"/>
  <c r="CH97" i="21"/>
  <c r="CF97" i="21"/>
  <c r="BZ97" i="21"/>
  <c r="BX97" i="21"/>
  <c r="BR97" i="21"/>
  <c r="BP97" i="21"/>
  <c r="BJ97" i="21"/>
  <c r="BH97" i="21"/>
  <c r="BB97" i="21"/>
  <c r="AZ97" i="21"/>
  <c r="AT97" i="21"/>
  <c r="AL97" i="21"/>
  <c r="AD97" i="21"/>
  <c r="V97" i="21"/>
  <c r="E97" i="21"/>
  <c r="D97" i="21"/>
  <c r="N97" i="21" s="1"/>
  <c r="CV96" i="21"/>
  <c r="CN96" i="21"/>
  <c r="CF96" i="21"/>
  <c r="BX96" i="21"/>
  <c r="BP96" i="21"/>
  <c r="BH96" i="21"/>
  <c r="AZ96" i="21"/>
  <c r="CV95" i="21"/>
  <c r="CN95" i="21"/>
  <c r="CF95" i="21"/>
  <c r="BX95" i="21"/>
  <c r="BP95" i="21"/>
  <c r="BH95" i="21"/>
  <c r="AZ95" i="21"/>
  <c r="AJ95" i="21"/>
  <c r="T95" i="21"/>
  <c r="E95" i="21"/>
  <c r="D95" i="21"/>
  <c r="N95" i="21" s="1"/>
  <c r="CV94" i="21"/>
  <c r="CN94" i="21"/>
  <c r="CF94" i="21"/>
  <c r="BX94" i="21"/>
  <c r="BP94" i="21"/>
  <c r="BH94" i="21"/>
  <c r="AZ94" i="21"/>
  <c r="E94" i="21"/>
  <c r="D94" i="21"/>
  <c r="N94" i="21" s="1"/>
  <c r="CV93" i="21"/>
  <c r="CN93" i="21"/>
  <c r="CF93" i="21"/>
  <c r="BX93" i="21"/>
  <c r="BP93" i="21"/>
  <c r="BH93" i="21"/>
  <c r="AZ93" i="21"/>
  <c r="CX92" i="21"/>
  <c r="CV92" i="21"/>
  <c r="CP92" i="21"/>
  <c r="CN92" i="21"/>
  <c r="CH92" i="21"/>
  <c r="CF92" i="21"/>
  <c r="BZ92" i="21"/>
  <c r="BX92" i="21"/>
  <c r="BR92" i="21"/>
  <c r="BP92" i="21"/>
  <c r="BJ92" i="21"/>
  <c r="BH92" i="21"/>
  <c r="BB92" i="21"/>
  <c r="AZ92" i="21"/>
  <c r="AT92" i="21"/>
  <c r="AL92" i="21"/>
  <c r="CT91" i="21"/>
  <c r="CX91" i="21" s="1"/>
  <c r="CR91" i="21"/>
  <c r="CL91" i="21"/>
  <c r="CP91" i="21" s="1"/>
  <c r="CJ91" i="21"/>
  <c r="CD91" i="21"/>
  <c r="CH91" i="21" s="1"/>
  <c r="CB91" i="21"/>
  <c r="BZ91" i="21"/>
  <c r="BT91" i="21"/>
  <c r="BL91" i="21"/>
  <c r="BJ91" i="21"/>
  <c r="BD91" i="21"/>
  <c r="BB91" i="21"/>
  <c r="AV91" i="21"/>
  <c r="AN91" i="21"/>
  <c r="AF91" i="21"/>
  <c r="X91" i="21"/>
  <c r="P91" i="21"/>
  <c r="J91" i="21"/>
  <c r="H91" i="21"/>
  <c r="CV88" i="21"/>
  <c r="CN88" i="21"/>
  <c r="CF88" i="21"/>
  <c r="BX88" i="21"/>
  <c r="BP88" i="21"/>
  <c r="BH88" i="21"/>
  <c r="AZ88" i="21"/>
  <c r="AR88" i="21"/>
  <c r="AJ88" i="21"/>
  <c r="AB88" i="21"/>
  <c r="T88" i="21"/>
  <c r="N88" i="21"/>
  <c r="E88" i="21"/>
  <c r="F88" i="21" s="1"/>
  <c r="D88" i="21"/>
  <c r="CV87" i="21"/>
  <c r="CN87" i="21"/>
  <c r="CF87" i="21"/>
  <c r="BX87" i="21"/>
  <c r="BP87" i="21"/>
  <c r="BH87" i="21"/>
  <c r="AZ87" i="21"/>
  <c r="AR87" i="21"/>
  <c r="AJ87" i="21"/>
  <c r="AB87" i="21"/>
  <c r="T87" i="21"/>
  <c r="N87" i="21"/>
  <c r="E87" i="21"/>
  <c r="F87" i="21" s="1"/>
  <c r="D87" i="21"/>
  <c r="CV86" i="21"/>
  <c r="CN86" i="21"/>
  <c r="CF86" i="21"/>
  <c r="BX86" i="21"/>
  <c r="BP86" i="21"/>
  <c r="BH86" i="21"/>
  <c r="AZ86" i="21"/>
  <c r="AR86" i="21"/>
  <c r="AJ86" i="21"/>
  <c r="AB86" i="21"/>
  <c r="T86" i="21"/>
  <c r="N86" i="21"/>
  <c r="E86" i="21"/>
  <c r="F86" i="21" s="1"/>
  <c r="D86" i="21"/>
  <c r="CV85" i="21"/>
  <c r="CN85" i="21"/>
  <c r="CF85" i="21"/>
  <c r="BX85" i="21"/>
  <c r="BP85" i="21"/>
  <c r="BH85" i="21"/>
  <c r="AZ85" i="21"/>
  <c r="AR85" i="21"/>
  <c r="AJ85" i="21"/>
  <c r="AB85" i="21"/>
  <c r="T85" i="21"/>
  <c r="N85" i="21"/>
  <c r="E85" i="21"/>
  <c r="F85" i="21" s="1"/>
  <c r="D85" i="21"/>
  <c r="CX84" i="21"/>
  <c r="CV84" i="21"/>
  <c r="CP84" i="21"/>
  <c r="CN84" i="21"/>
  <c r="CH84" i="21"/>
  <c r="CF84" i="21"/>
  <c r="BZ84" i="21"/>
  <c r="BX84" i="21"/>
  <c r="BR84" i="21"/>
  <c r="BP84" i="21"/>
  <c r="BJ84" i="21"/>
  <c r="BH84" i="21"/>
  <c r="BB84" i="21"/>
  <c r="AT84" i="21"/>
  <c r="AR84" i="21"/>
  <c r="AL84" i="21"/>
  <c r="AJ84" i="21"/>
  <c r="AD84" i="21"/>
  <c r="AB84" i="21"/>
  <c r="V84" i="21"/>
  <c r="T84" i="21"/>
  <c r="N84" i="21"/>
  <c r="E84" i="21"/>
  <c r="D84" i="21"/>
  <c r="CX83" i="21"/>
  <c r="CV83" i="21"/>
  <c r="CP83" i="21"/>
  <c r="CN83" i="21"/>
  <c r="CH83" i="21"/>
  <c r="CF83" i="21"/>
  <c r="BZ83" i="21"/>
  <c r="BX83" i="21"/>
  <c r="BR83" i="21"/>
  <c r="BP83" i="21"/>
  <c r="BJ83" i="21"/>
  <c r="BH83" i="21"/>
  <c r="BB83" i="21"/>
  <c r="AT83" i="21"/>
  <c r="AL83" i="21"/>
  <c r="AD83" i="21"/>
  <c r="V83" i="21"/>
  <c r="E83" i="21"/>
  <c r="D83" i="21"/>
  <c r="CT82" i="21"/>
  <c r="CX82" i="21" s="1"/>
  <c r="CR82" i="21"/>
  <c r="CL82" i="21"/>
  <c r="CP82" i="21" s="1"/>
  <c r="CJ82" i="21"/>
  <c r="CD82" i="21"/>
  <c r="CH82" i="21" s="1"/>
  <c r="CB82" i="21"/>
  <c r="BZ82" i="21"/>
  <c r="BT82" i="21"/>
  <c r="BR82" i="21"/>
  <c r="BL82" i="21"/>
  <c r="BJ82" i="21"/>
  <c r="BD82" i="21"/>
  <c r="BB82" i="21"/>
  <c r="AV82" i="21"/>
  <c r="AN82" i="21"/>
  <c r="AF82" i="21"/>
  <c r="X82" i="21"/>
  <c r="V82" i="21"/>
  <c r="P82" i="21"/>
  <c r="J82" i="21"/>
  <c r="H82" i="21"/>
  <c r="CX80" i="21"/>
  <c r="CV80" i="21"/>
  <c r="CP80" i="21"/>
  <c r="CN80" i="21"/>
  <c r="CH80" i="21"/>
  <c r="CF80" i="21"/>
  <c r="BZ80" i="21"/>
  <c r="BX80" i="21"/>
  <c r="BR80" i="21"/>
  <c r="BP80" i="21"/>
  <c r="BJ80" i="21"/>
  <c r="BH80" i="21"/>
  <c r="BB80" i="21"/>
  <c r="AZ80" i="21"/>
  <c r="AT80" i="21"/>
  <c r="AR80" i="21"/>
  <c r="AL80" i="21"/>
  <c r="AD80" i="21"/>
  <c r="AB80" i="21"/>
  <c r="V80" i="21"/>
  <c r="T80" i="21"/>
  <c r="N80" i="21"/>
  <c r="E80" i="21"/>
  <c r="D80" i="21"/>
  <c r="CV79" i="21"/>
  <c r="CN79" i="21"/>
  <c r="CF79" i="21"/>
  <c r="BX79" i="21"/>
  <c r="BP79" i="21"/>
  <c r="BH79" i="21"/>
  <c r="AZ79" i="21"/>
  <c r="AR79" i="21"/>
  <c r="N79" i="21"/>
  <c r="E79" i="21"/>
  <c r="D79" i="21"/>
  <c r="CV78" i="21"/>
  <c r="CN78" i="21"/>
  <c r="CF78" i="21"/>
  <c r="BX78" i="21"/>
  <c r="BP78" i="21"/>
  <c r="BH78" i="21"/>
  <c r="AZ78" i="21"/>
  <c r="AR78" i="21"/>
  <c r="AJ78" i="21"/>
  <c r="AB78" i="21"/>
  <c r="T78" i="21"/>
  <c r="E78" i="21"/>
  <c r="D78" i="21"/>
  <c r="N78" i="21" s="1"/>
  <c r="CX77" i="21"/>
  <c r="CV77" i="21"/>
  <c r="CP77" i="21"/>
  <c r="CN77" i="21"/>
  <c r="CH77" i="21"/>
  <c r="CF77" i="21"/>
  <c r="BZ77" i="21"/>
  <c r="BX77" i="21"/>
  <c r="BR77" i="21"/>
  <c r="BP77" i="21"/>
  <c r="BJ77" i="21"/>
  <c r="BH77" i="21"/>
  <c r="BB77" i="21"/>
  <c r="AZ77" i="21"/>
  <c r="AT77" i="21"/>
  <c r="AL77" i="21"/>
  <c r="V77" i="21"/>
  <c r="CX76" i="21"/>
  <c r="CV76" i="21"/>
  <c r="CP76" i="21"/>
  <c r="CN76" i="21"/>
  <c r="CH76" i="21"/>
  <c r="CF76" i="21"/>
  <c r="CF75" i="21" s="1"/>
  <c r="BZ76" i="21"/>
  <c r="BX76" i="21"/>
  <c r="BR76" i="21"/>
  <c r="BP76" i="21"/>
  <c r="BJ76" i="21"/>
  <c r="BH76" i="21"/>
  <c r="BB76" i="21"/>
  <c r="AZ76" i="21"/>
  <c r="AT76" i="21"/>
  <c r="AR76" i="21"/>
  <c r="AL76" i="21"/>
  <c r="V76" i="21"/>
  <c r="T76" i="21"/>
  <c r="N76" i="21"/>
  <c r="E76" i="21"/>
  <c r="CT75" i="21"/>
  <c r="CX75" i="21" s="1"/>
  <c r="CR75" i="21"/>
  <c r="CL75" i="21"/>
  <c r="CJ75" i="21"/>
  <c r="CD75" i="21"/>
  <c r="CH75" i="21" s="1"/>
  <c r="CB75" i="21"/>
  <c r="BT75" i="21"/>
  <c r="BR75" i="21"/>
  <c r="BL75" i="21"/>
  <c r="BD75" i="21"/>
  <c r="BB75" i="21"/>
  <c r="AV75" i="21"/>
  <c r="AN75" i="21"/>
  <c r="AF75" i="21"/>
  <c r="X75" i="21"/>
  <c r="P75" i="21"/>
  <c r="J75" i="21"/>
  <c r="H75" i="21"/>
  <c r="CV71" i="21"/>
  <c r="CN71" i="21"/>
  <c r="CF71" i="21"/>
  <c r="BX71" i="21"/>
  <c r="BP71" i="21"/>
  <c r="BH71" i="21"/>
  <c r="AZ71" i="21"/>
  <c r="AR71" i="21"/>
  <c r="AB71" i="21"/>
  <c r="T71" i="21"/>
  <c r="N71" i="21"/>
  <c r="E71" i="21"/>
  <c r="D71" i="21"/>
  <c r="CV70" i="21"/>
  <c r="CN70" i="21"/>
  <c r="CF70" i="21"/>
  <c r="BX70" i="21"/>
  <c r="BP70" i="21"/>
  <c r="BH70" i="21"/>
  <c r="AZ70" i="21"/>
  <c r="AR70" i="21"/>
  <c r="AJ70" i="21"/>
  <c r="AB70" i="21"/>
  <c r="T70" i="21"/>
  <c r="N70" i="21"/>
  <c r="E70" i="21"/>
  <c r="F70" i="21" s="1"/>
  <c r="D70" i="21"/>
  <c r="CV69" i="21"/>
  <c r="CN69" i="21"/>
  <c r="CF69" i="21"/>
  <c r="BX69" i="21"/>
  <c r="BP69" i="21"/>
  <c r="BH69" i="21"/>
  <c r="AZ69" i="21"/>
  <c r="AR69" i="21"/>
  <c r="AJ69" i="21"/>
  <c r="AB69" i="21"/>
  <c r="T69" i="21"/>
  <c r="N69" i="21"/>
  <c r="E69" i="21"/>
  <c r="F69" i="21" s="1"/>
  <c r="D69" i="21"/>
  <c r="CV68" i="21"/>
  <c r="CN68" i="21"/>
  <c r="CF68" i="21"/>
  <c r="BX68" i="21"/>
  <c r="BP68" i="21"/>
  <c r="BH68" i="21"/>
  <c r="AZ68" i="21"/>
  <c r="AR68" i="21"/>
  <c r="AJ68" i="21"/>
  <c r="AB68" i="21"/>
  <c r="T68" i="21"/>
  <c r="N68" i="21"/>
  <c r="E68" i="21"/>
  <c r="F68" i="21" s="1"/>
  <c r="D68" i="21"/>
  <c r="CV67" i="21"/>
  <c r="CN67" i="21"/>
  <c r="CF67" i="21"/>
  <c r="BX67" i="21"/>
  <c r="BP67" i="21"/>
  <c r="BH67" i="21"/>
  <c r="AZ67" i="21"/>
  <c r="AR67" i="21"/>
  <c r="AJ67" i="21"/>
  <c r="AB67" i="21"/>
  <c r="T67" i="21"/>
  <c r="N67" i="21"/>
  <c r="E67" i="21"/>
  <c r="F67" i="21" s="1"/>
  <c r="D67" i="21"/>
  <c r="CV66" i="21"/>
  <c r="CN66" i="21"/>
  <c r="CF66" i="21"/>
  <c r="BX66" i="21"/>
  <c r="BP66" i="21"/>
  <c r="BH66" i="21"/>
  <c r="AZ66" i="21"/>
  <c r="AR66" i="21"/>
  <c r="CV65" i="21"/>
  <c r="CN65" i="21"/>
  <c r="CF65" i="21"/>
  <c r="BX65" i="21"/>
  <c r="BP65" i="21"/>
  <c r="BH65" i="21"/>
  <c r="AZ65" i="21"/>
  <c r="AR65" i="21"/>
  <c r="AJ65" i="21"/>
  <c r="AB65" i="21"/>
  <c r="T65" i="21"/>
  <c r="E65" i="21"/>
  <c r="F65" i="21" s="1"/>
  <c r="D65" i="21"/>
  <c r="N65" i="21" s="1"/>
  <c r="CV64" i="21"/>
  <c r="CN64" i="21"/>
  <c r="CF64" i="21"/>
  <c r="BX64" i="21"/>
  <c r="BP64" i="21"/>
  <c r="BH64" i="21"/>
  <c r="AZ64" i="21"/>
  <c r="AR64" i="21"/>
  <c r="AJ64" i="21"/>
  <c r="AB64" i="21"/>
  <c r="T64" i="21"/>
  <c r="N64" i="21"/>
  <c r="E64" i="21"/>
  <c r="F64" i="21" s="1"/>
  <c r="D64" i="21"/>
  <c r="CV63" i="21"/>
  <c r="CN63" i="21"/>
  <c r="CF63" i="21"/>
  <c r="BX63" i="21"/>
  <c r="BP63" i="21"/>
  <c r="BH63" i="21"/>
  <c r="AZ63" i="21"/>
  <c r="AR63" i="21"/>
  <c r="AJ63" i="21"/>
  <c r="AB63" i="21"/>
  <c r="E63" i="21"/>
  <c r="D63" i="21"/>
  <c r="N63" i="21" s="1"/>
  <c r="CV62" i="21"/>
  <c r="CN62" i="21"/>
  <c r="CF62" i="21"/>
  <c r="BX62" i="21"/>
  <c r="BP62" i="21"/>
  <c r="BH62" i="21"/>
  <c r="AZ62" i="21"/>
  <c r="AR62" i="21"/>
  <c r="AJ62" i="21"/>
  <c r="AB62" i="21"/>
  <c r="T62" i="21"/>
  <c r="N62" i="21"/>
  <c r="E62" i="21"/>
  <c r="F62" i="21" s="1"/>
  <c r="D62" i="21"/>
  <c r="CV61" i="21"/>
  <c r="CN61" i="21"/>
  <c r="CF61" i="21"/>
  <c r="BX61" i="21"/>
  <c r="BP61" i="21"/>
  <c r="BH61" i="21"/>
  <c r="AZ61" i="21"/>
  <c r="AR61" i="21"/>
  <c r="AJ61" i="21"/>
  <c r="AB61" i="21"/>
  <c r="T61" i="21"/>
  <c r="N61" i="21"/>
  <c r="E61" i="21"/>
  <c r="F61" i="21" s="1"/>
  <c r="D61" i="21"/>
  <c r="CV60" i="21"/>
  <c r="CN60" i="21"/>
  <c r="CF60" i="21"/>
  <c r="BX60" i="21"/>
  <c r="BP60" i="21"/>
  <c r="BH60" i="21"/>
  <c r="AZ60" i="21"/>
  <c r="AR60" i="21"/>
  <c r="AJ60" i="21"/>
  <c r="AB60" i="21"/>
  <c r="T60" i="21"/>
  <c r="E60" i="21"/>
  <c r="F60" i="21" s="1"/>
  <c r="D60" i="21"/>
  <c r="N60" i="21" s="1"/>
  <c r="CV59" i="21"/>
  <c r="CN59" i="21"/>
  <c r="CF59" i="21"/>
  <c r="BX59" i="21"/>
  <c r="BP59" i="21"/>
  <c r="BH59" i="21"/>
  <c r="AZ59" i="21"/>
  <c r="CV58" i="21"/>
  <c r="CN58" i="21"/>
  <c r="CF58" i="21"/>
  <c r="BX58" i="21"/>
  <c r="BP58" i="21"/>
  <c r="BH58" i="21"/>
  <c r="AZ58" i="21"/>
  <c r="AR58" i="21"/>
  <c r="AB58" i="21"/>
  <c r="E58" i="21"/>
  <c r="D58" i="21"/>
  <c r="N58" i="21" s="1"/>
  <c r="CV57" i="21"/>
  <c r="CN57" i="21"/>
  <c r="CF57" i="21"/>
  <c r="BX57" i="21"/>
  <c r="BP57" i="21"/>
  <c r="BH57" i="21"/>
  <c r="AZ57" i="21"/>
  <c r="AR57" i="21"/>
  <c r="AJ57" i="21"/>
  <c r="AB57" i="21"/>
  <c r="T57" i="21"/>
  <c r="N57" i="21"/>
  <c r="E57" i="21"/>
  <c r="F57" i="21" s="1"/>
  <c r="D57" i="21"/>
  <c r="CV56" i="21"/>
  <c r="CN56" i="21"/>
  <c r="CF56" i="21"/>
  <c r="BX56" i="21"/>
  <c r="BP56" i="21"/>
  <c r="BH56" i="21"/>
  <c r="AZ56" i="21"/>
  <c r="N56" i="21"/>
  <c r="E56" i="21"/>
  <c r="D56" i="21"/>
  <c r="CV55" i="21"/>
  <c r="CN55" i="21"/>
  <c r="CF55" i="21"/>
  <c r="BX55" i="21"/>
  <c r="BP55" i="21"/>
  <c r="BH55" i="21"/>
  <c r="AZ55" i="21"/>
  <c r="E55" i="21"/>
  <c r="D55" i="21"/>
  <c r="N55" i="21" s="1"/>
  <c r="CV54" i="21"/>
  <c r="CN54" i="21"/>
  <c r="CF54" i="21"/>
  <c r="BX54" i="21"/>
  <c r="BP54" i="21"/>
  <c r="BH54" i="21"/>
  <c r="AZ54" i="21"/>
  <c r="AR54" i="21"/>
  <c r="AB54" i="21"/>
  <c r="T54" i="21"/>
  <c r="E54" i="21"/>
  <c r="D54" i="21"/>
  <c r="N54" i="21" s="1"/>
  <c r="CV53" i="21"/>
  <c r="CN53" i="21"/>
  <c r="CF53" i="21"/>
  <c r="BX53" i="21"/>
  <c r="BP53" i="21"/>
  <c r="BH53" i="21"/>
  <c r="AZ53" i="21"/>
  <c r="AJ53" i="21"/>
  <c r="AB53" i="21"/>
  <c r="E53" i="21"/>
  <c r="D53" i="21"/>
  <c r="N53" i="21" s="1"/>
  <c r="CV52" i="21"/>
  <c r="CN52" i="21"/>
  <c r="CF52" i="21"/>
  <c r="BX52" i="21"/>
  <c r="BP52" i="21"/>
  <c r="BH52" i="21"/>
  <c r="AZ52" i="21"/>
  <c r="AR52" i="21"/>
  <c r="AJ52" i="21"/>
  <c r="N52" i="21"/>
  <c r="E52" i="21"/>
  <c r="D52" i="21"/>
  <c r="CX51" i="21"/>
  <c r="CV51" i="21"/>
  <c r="CP51" i="21"/>
  <c r="CN51" i="21"/>
  <c r="CH51" i="21"/>
  <c r="CF51" i="21"/>
  <c r="BZ51" i="21"/>
  <c r="BX51" i="21"/>
  <c r="BR51" i="21"/>
  <c r="BP51" i="21"/>
  <c r="BJ51" i="21"/>
  <c r="BH51" i="21"/>
  <c r="BB51" i="21"/>
  <c r="AZ51" i="21"/>
  <c r="AT51" i="21"/>
  <c r="AL51" i="21"/>
  <c r="AJ51" i="21"/>
  <c r="AD51" i="21"/>
  <c r="AB51" i="21"/>
  <c r="V51" i="21"/>
  <c r="T51" i="21"/>
  <c r="E51" i="21"/>
  <c r="D51" i="21"/>
  <c r="CT50" i="21"/>
  <c r="CX50" i="21" s="1"/>
  <c r="CR50" i="21"/>
  <c r="CL50" i="21"/>
  <c r="CP50" i="21" s="1"/>
  <c r="CJ50" i="21"/>
  <c r="CD50" i="21"/>
  <c r="CH50" i="21" s="1"/>
  <c r="CB50" i="21"/>
  <c r="BZ50" i="21"/>
  <c r="BT50" i="21"/>
  <c r="BR50" i="21"/>
  <c r="BL50" i="21"/>
  <c r="BJ50" i="21"/>
  <c r="BD50" i="21"/>
  <c r="BB50" i="21"/>
  <c r="AV50" i="21"/>
  <c r="AN50" i="21"/>
  <c r="AF50" i="21"/>
  <c r="X50" i="21"/>
  <c r="P50" i="21"/>
  <c r="H50" i="21"/>
  <c r="CX48" i="21"/>
  <c r="CV48" i="21"/>
  <c r="CP48" i="21"/>
  <c r="CN48" i="21"/>
  <c r="CH48" i="21"/>
  <c r="CF48" i="21"/>
  <c r="BZ48" i="21"/>
  <c r="BX48" i="21"/>
  <c r="BR48" i="21"/>
  <c r="BP48" i="21"/>
  <c r="BJ48" i="21"/>
  <c r="BH48" i="21"/>
  <c r="BB48" i="21"/>
  <c r="AZ48" i="21"/>
  <c r="AT48" i="21"/>
  <c r="AR48" i="21"/>
  <c r="AL48" i="21"/>
  <c r="AD48" i="21"/>
  <c r="V48" i="21"/>
  <c r="T48" i="21"/>
  <c r="N48" i="21"/>
  <c r="CV47" i="21"/>
  <c r="CN47" i="21"/>
  <c r="CF47" i="21"/>
  <c r="BX47" i="21"/>
  <c r="BP47" i="21"/>
  <c r="BH47" i="21"/>
  <c r="AZ47" i="21"/>
  <c r="AR47" i="21"/>
  <c r="AJ47" i="21"/>
  <c r="E47" i="21"/>
  <c r="D47" i="21"/>
  <c r="N47" i="21" s="1"/>
  <c r="CX45" i="21"/>
  <c r="CV45" i="21"/>
  <c r="CP45" i="21"/>
  <c r="CN45" i="21"/>
  <c r="CH45" i="21"/>
  <c r="CF45" i="21"/>
  <c r="BZ45" i="21"/>
  <c r="BX45" i="21"/>
  <c r="BR45" i="21"/>
  <c r="BP45" i="21"/>
  <c r="BJ45" i="21"/>
  <c r="BH45" i="21"/>
  <c r="BB45" i="21"/>
  <c r="AZ45" i="21"/>
  <c r="AT45" i="21"/>
  <c r="AL45" i="21"/>
  <c r="AD45" i="21"/>
  <c r="V45" i="21"/>
  <c r="E45" i="21"/>
  <c r="D45" i="21"/>
  <c r="N45" i="21" s="1"/>
  <c r="CX44" i="21"/>
  <c r="CV44" i="21"/>
  <c r="CP44" i="21"/>
  <c r="CN44" i="21"/>
  <c r="CH44" i="21"/>
  <c r="CF44" i="21"/>
  <c r="BZ44" i="21"/>
  <c r="BX44" i="21"/>
  <c r="BR44" i="21"/>
  <c r="BP44" i="21"/>
  <c r="BJ44" i="21"/>
  <c r="BH44" i="21"/>
  <c r="BB44" i="21"/>
  <c r="AZ44" i="21"/>
  <c r="AT44" i="21"/>
  <c r="AL44" i="21"/>
  <c r="AJ44" i="21"/>
  <c r="AD44" i="21"/>
  <c r="V44" i="21"/>
  <c r="E44" i="21"/>
  <c r="D44" i="21"/>
  <c r="CT43" i="21"/>
  <c r="CX43" i="21" s="1"/>
  <c r="CR43" i="21"/>
  <c r="CL43" i="21"/>
  <c r="CP43" i="21" s="1"/>
  <c r="CJ43" i="21"/>
  <c r="CD43" i="21"/>
  <c r="CH43" i="21" s="1"/>
  <c r="CB43" i="21"/>
  <c r="BZ43" i="21"/>
  <c r="BT43" i="21"/>
  <c r="BR43" i="21"/>
  <c r="BL43" i="21"/>
  <c r="BJ43" i="21"/>
  <c r="BD43" i="21"/>
  <c r="BB43" i="21"/>
  <c r="AV43" i="21"/>
  <c r="AN43" i="21"/>
  <c r="AF43" i="21"/>
  <c r="AD43" i="21"/>
  <c r="X43" i="21"/>
  <c r="P43" i="21"/>
  <c r="J43" i="21"/>
  <c r="H43" i="21"/>
  <c r="CX41" i="21"/>
  <c r="CV41" i="21"/>
  <c r="CP41" i="21"/>
  <c r="CN41" i="21"/>
  <c r="CH41" i="21"/>
  <c r="CF41" i="21"/>
  <c r="BZ41" i="21"/>
  <c r="BX41" i="21"/>
  <c r="BR41" i="21"/>
  <c r="BP41" i="21"/>
  <c r="BJ41" i="21"/>
  <c r="BH41" i="21"/>
  <c r="BB41" i="21"/>
  <c r="AZ41" i="21"/>
  <c r="AT41" i="21"/>
  <c r="AR41" i="21"/>
  <c r="AL41" i="21"/>
  <c r="AJ41" i="21"/>
  <c r="AD41" i="21"/>
  <c r="AB41" i="21"/>
  <c r="V41" i="21"/>
  <c r="T41" i="21"/>
  <c r="N41" i="21"/>
  <c r="E41" i="21"/>
  <c r="F41" i="21" s="1"/>
  <c r="D41" i="21"/>
  <c r="CX40" i="21"/>
  <c r="CV40" i="21"/>
  <c r="CP40" i="21"/>
  <c r="CN40" i="21"/>
  <c r="CH40" i="21"/>
  <c r="CF40" i="21"/>
  <c r="BZ40" i="21"/>
  <c r="BX40" i="21"/>
  <c r="BR40" i="21"/>
  <c r="BP40" i="21"/>
  <c r="BJ40" i="21"/>
  <c r="BH40" i="21"/>
  <c r="BB40" i="21"/>
  <c r="AZ40" i="21"/>
  <c r="AT40" i="21"/>
  <c r="AR40" i="21"/>
  <c r="AL40" i="21"/>
  <c r="AJ40" i="21"/>
  <c r="AD40" i="21"/>
  <c r="AB40" i="21"/>
  <c r="V40" i="21"/>
  <c r="T40" i="21"/>
  <c r="N40" i="21"/>
  <c r="E40" i="21"/>
  <c r="F40" i="21" s="1"/>
  <c r="D40" i="21"/>
  <c r="CX39" i="21"/>
  <c r="CV39" i="21"/>
  <c r="CP39" i="21"/>
  <c r="CN39" i="21"/>
  <c r="CH39" i="21"/>
  <c r="CF39" i="21"/>
  <c r="BZ39" i="21"/>
  <c r="BX39" i="21"/>
  <c r="BR39" i="21"/>
  <c r="BP39" i="21"/>
  <c r="BJ39" i="21"/>
  <c r="BH39" i="21"/>
  <c r="BB39" i="21"/>
  <c r="AZ39" i="21"/>
  <c r="AT39" i="21"/>
  <c r="AR39" i="21"/>
  <c r="AL39" i="21"/>
  <c r="AJ39" i="21"/>
  <c r="AD39" i="21"/>
  <c r="AB39" i="21"/>
  <c r="V39" i="21"/>
  <c r="T39" i="21"/>
  <c r="N39" i="21"/>
  <c r="E39" i="21"/>
  <c r="F39" i="21" s="1"/>
  <c r="D39" i="21"/>
  <c r="CX38" i="21"/>
  <c r="CV38" i="21"/>
  <c r="CP38" i="21"/>
  <c r="CN38" i="21"/>
  <c r="CH38" i="21"/>
  <c r="CF38" i="21"/>
  <c r="BZ38" i="21"/>
  <c r="BX38" i="21"/>
  <c r="BR38" i="21"/>
  <c r="BP38" i="21"/>
  <c r="BJ38" i="21"/>
  <c r="BH38" i="21"/>
  <c r="BB38" i="21"/>
  <c r="AZ38" i="21"/>
  <c r="AT38" i="21"/>
  <c r="AR38" i="21"/>
  <c r="AL38" i="21"/>
  <c r="AJ38" i="21"/>
  <c r="AD38" i="21"/>
  <c r="AB38" i="21"/>
  <c r="V38" i="21"/>
  <c r="T38" i="21"/>
  <c r="N38" i="21"/>
  <c r="E38" i="21"/>
  <c r="F38" i="21" s="1"/>
  <c r="D38" i="21"/>
  <c r="CX37" i="21"/>
  <c r="CV37" i="21"/>
  <c r="CP37" i="21"/>
  <c r="CN37" i="21"/>
  <c r="CH37" i="21"/>
  <c r="CF37" i="21"/>
  <c r="BZ37" i="21"/>
  <c r="BX37" i="21"/>
  <c r="BR37" i="21"/>
  <c r="BP37" i="21"/>
  <c r="BJ37" i="21"/>
  <c r="BH37" i="21"/>
  <c r="BB37" i="21"/>
  <c r="AZ37" i="21"/>
  <c r="AT37" i="21"/>
  <c r="AR37" i="21"/>
  <c r="AL37" i="21"/>
  <c r="AJ37" i="21"/>
  <c r="AD37" i="21"/>
  <c r="AB37" i="21"/>
  <c r="V37" i="21"/>
  <c r="T37" i="21"/>
  <c r="N37" i="21"/>
  <c r="E37" i="21"/>
  <c r="D37" i="21"/>
  <c r="CV36" i="21"/>
  <c r="CP36" i="21"/>
  <c r="CN36" i="21"/>
  <c r="CH36" i="21"/>
  <c r="CF36" i="21"/>
  <c r="BZ36" i="21"/>
  <c r="BX36" i="21"/>
  <c r="BR36" i="21"/>
  <c r="BP36" i="21"/>
  <c r="BH36" i="21"/>
  <c r="AZ36" i="21"/>
  <c r="AR36" i="21"/>
  <c r="AL36" i="21"/>
  <c r="AJ36" i="21"/>
  <c r="AD36" i="21"/>
  <c r="AB36" i="21"/>
  <c r="V36" i="21"/>
  <c r="T36" i="21"/>
  <c r="N36" i="21"/>
  <c r="E36" i="21"/>
  <c r="F36" i="21" s="1"/>
  <c r="D36" i="21"/>
  <c r="CV35" i="21"/>
  <c r="CP35" i="21"/>
  <c r="CN35" i="21"/>
  <c r="CH35" i="21"/>
  <c r="CF35" i="21"/>
  <c r="BZ35" i="21"/>
  <c r="BX35" i="21"/>
  <c r="BR35" i="21"/>
  <c r="BP35" i="21"/>
  <c r="BH35" i="21"/>
  <c r="AZ35" i="21"/>
  <c r="AR35" i="21"/>
  <c r="AL35" i="21"/>
  <c r="AJ35" i="21"/>
  <c r="AD35" i="21"/>
  <c r="AB35" i="21"/>
  <c r="V35" i="21"/>
  <c r="T35" i="21"/>
  <c r="N35" i="21"/>
  <c r="E35" i="21"/>
  <c r="F35" i="21" s="1"/>
  <c r="D35" i="21"/>
  <c r="CV34" i="21"/>
  <c r="CP34" i="21"/>
  <c r="CN34" i="21"/>
  <c r="CH34" i="21"/>
  <c r="CF34" i="21"/>
  <c r="BZ34" i="21"/>
  <c r="BX34" i="21"/>
  <c r="BR34" i="21"/>
  <c r="BP34" i="21"/>
  <c r="BJ34" i="21"/>
  <c r="BH34" i="21"/>
  <c r="BB34" i="21"/>
  <c r="AZ34" i="21"/>
  <c r="AR34" i="21"/>
  <c r="AL34" i="21"/>
  <c r="AJ34" i="21"/>
  <c r="AD34" i="21"/>
  <c r="AB34" i="21"/>
  <c r="V34" i="21"/>
  <c r="T34" i="21"/>
  <c r="N34" i="21"/>
  <c r="E34" i="21"/>
  <c r="F34" i="21" s="1"/>
  <c r="D34" i="21"/>
  <c r="CX33" i="21"/>
  <c r="CV33" i="21"/>
  <c r="CP33" i="21"/>
  <c r="CN33" i="21"/>
  <c r="CH33" i="21"/>
  <c r="CF33" i="21"/>
  <c r="BZ33" i="21"/>
  <c r="BX33" i="21"/>
  <c r="BR33" i="21"/>
  <c r="BP33" i="21"/>
  <c r="BJ33" i="21"/>
  <c r="BH33" i="21"/>
  <c r="BB33" i="21"/>
  <c r="AZ33" i="21"/>
  <c r="AT33" i="21"/>
  <c r="AL33" i="21"/>
  <c r="AD33" i="21"/>
  <c r="V33" i="21"/>
  <c r="T33" i="21"/>
  <c r="E33" i="21"/>
  <c r="D33" i="21"/>
  <c r="N33" i="21" s="1"/>
  <c r="CX32" i="21"/>
  <c r="CV32" i="21"/>
  <c r="CP32" i="21"/>
  <c r="CN32" i="21"/>
  <c r="CH32" i="21"/>
  <c r="CF32" i="21"/>
  <c r="BZ32" i="21"/>
  <c r="BX32" i="21"/>
  <c r="BR32" i="21"/>
  <c r="BP32" i="21"/>
  <c r="BJ32" i="21"/>
  <c r="BH32" i="21"/>
  <c r="BB32" i="21"/>
  <c r="AZ32" i="21"/>
  <c r="AT32" i="21"/>
  <c r="AL32" i="21"/>
  <c r="AD32" i="21"/>
  <c r="V32" i="21"/>
  <c r="E32" i="21"/>
  <c r="D32" i="21"/>
  <c r="N32" i="21" s="1"/>
  <c r="CV31" i="21"/>
  <c r="CN31" i="21"/>
  <c r="CF31" i="21"/>
  <c r="BX31" i="21"/>
  <c r="BP31" i="21"/>
  <c r="BH31" i="21"/>
  <c r="AZ31" i="21"/>
  <c r="CX30" i="21"/>
  <c r="CV30" i="21"/>
  <c r="CP30" i="21"/>
  <c r="CN30" i="21"/>
  <c r="CH30" i="21"/>
  <c r="CF30" i="21"/>
  <c r="BZ30" i="21"/>
  <c r="BX30" i="21"/>
  <c r="BR30" i="21"/>
  <c r="BP30" i="21"/>
  <c r="BJ30" i="21"/>
  <c r="BH30" i="21"/>
  <c r="BB30" i="21"/>
  <c r="AZ30" i="21"/>
  <c r="AT30" i="21"/>
  <c r="AR30" i="21"/>
  <c r="AL30" i="21"/>
  <c r="AJ30" i="21"/>
  <c r="V30" i="21"/>
  <c r="T30" i="21"/>
  <c r="N30" i="21"/>
  <c r="E30" i="21"/>
  <c r="D30" i="21"/>
  <c r="CX29" i="21"/>
  <c r="CV29" i="21"/>
  <c r="CP29" i="21"/>
  <c r="CN29" i="21"/>
  <c r="CH29" i="21"/>
  <c r="CF29" i="21"/>
  <c r="BZ29" i="21"/>
  <c r="BX29" i="21"/>
  <c r="BR29" i="21"/>
  <c r="BP29" i="21"/>
  <c r="BJ29" i="21"/>
  <c r="BH29" i="21"/>
  <c r="BB29" i="21"/>
  <c r="AZ29" i="21"/>
  <c r="AT29" i="21"/>
  <c r="AR29" i="21"/>
  <c r="AL29" i="21"/>
  <c r="AJ29" i="21"/>
  <c r="AD29" i="21"/>
  <c r="AB29" i="21"/>
  <c r="V29" i="21"/>
  <c r="N29" i="21"/>
  <c r="E29" i="21"/>
  <c r="D29" i="21"/>
  <c r="CX28" i="21"/>
  <c r="CV28" i="21"/>
  <c r="CP28" i="21"/>
  <c r="CN28" i="21"/>
  <c r="CH28" i="21"/>
  <c r="CF28" i="21"/>
  <c r="BZ28" i="21"/>
  <c r="BX28" i="21"/>
  <c r="BR28" i="21"/>
  <c r="BP28" i="21"/>
  <c r="BJ28" i="21"/>
  <c r="BH28" i="21"/>
  <c r="BB28" i="21"/>
  <c r="AZ28" i="21"/>
  <c r="AT28" i="21"/>
  <c r="AL28" i="21"/>
  <c r="AD28" i="21"/>
  <c r="AB28" i="21"/>
  <c r="V28" i="21"/>
  <c r="T28" i="21"/>
  <c r="E28" i="21"/>
  <c r="D28" i="21"/>
  <c r="CT27" i="21"/>
  <c r="CX27" i="21" s="1"/>
  <c r="CR27" i="21"/>
  <c r="CL27" i="21"/>
  <c r="CP27" i="21" s="1"/>
  <c r="CJ27" i="21"/>
  <c r="CD27" i="21"/>
  <c r="CH27" i="21" s="1"/>
  <c r="CB27" i="21"/>
  <c r="BZ27" i="21"/>
  <c r="BT27" i="21"/>
  <c r="BR27" i="21"/>
  <c r="BL27" i="21"/>
  <c r="BJ27" i="21"/>
  <c r="BD27" i="21"/>
  <c r="BB27" i="21"/>
  <c r="AV27" i="21"/>
  <c r="AT27" i="21"/>
  <c r="AN27" i="21"/>
  <c r="AF27" i="21"/>
  <c r="X27" i="21"/>
  <c r="V27" i="21"/>
  <c r="P27" i="21"/>
  <c r="H27" i="21"/>
  <c r="CV20" i="21"/>
  <c r="CN20" i="21"/>
  <c r="CF20" i="21"/>
  <c r="BX20" i="21"/>
  <c r="BP20" i="21"/>
  <c r="BH20" i="21"/>
  <c r="AZ20" i="21"/>
  <c r="L20" i="21"/>
  <c r="E20" i="21"/>
  <c r="D20" i="21"/>
  <c r="N20" i="21" s="1"/>
  <c r="CV19" i="21"/>
  <c r="CN19" i="21"/>
  <c r="CF19" i="21"/>
  <c r="BX19" i="21"/>
  <c r="BP19" i="21"/>
  <c r="BH19" i="21"/>
  <c r="AZ19" i="21"/>
  <c r="AR19" i="21"/>
  <c r="AJ19" i="21"/>
  <c r="AB19" i="21"/>
  <c r="T19" i="21"/>
  <c r="N19" i="21"/>
  <c r="E19" i="21"/>
  <c r="F19" i="21" s="1"/>
  <c r="D19" i="21"/>
  <c r="CV18" i="21"/>
  <c r="CN18" i="21"/>
  <c r="CF18" i="21"/>
  <c r="BX18" i="21"/>
  <c r="BP18" i="21"/>
  <c r="BH18" i="21"/>
  <c r="AZ18" i="21"/>
  <c r="AR18" i="21"/>
  <c r="AJ18" i="21"/>
  <c r="AB18" i="21"/>
  <c r="T18" i="21"/>
  <c r="N18" i="21"/>
  <c r="E18" i="21"/>
  <c r="F18" i="21" s="1"/>
  <c r="D18" i="21"/>
  <c r="CV17" i="21"/>
  <c r="CN17" i="21"/>
  <c r="CF17" i="21"/>
  <c r="BX17" i="21"/>
  <c r="BP17" i="21"/>
  <c r="BH17" i="21"/>
  <c r="AZ17" i="21"/>
  <c r="AJ17" i="21"/>
  <c r="CX16" i="21"/>
  <c r="CV16" i="21"/>
  <c r="CP16" i="21"/>
  <c r="CN16" i="21"/>
  <c r="CH16" i="21"/>
  <c r="CF16" i="21"/>
  <c r="BZ16" i="21"/>
  <c r="BX16" i="21"/>
  <c r="BR16" i="21"/>
  <c r="BP16" i="21"/>
  <c r="BJ16" i="21"/>
  <c r="BH16" i="21"/>
  <c r="BB16" i="21"/>
  <c r="AZ16" i="21"/>
  <c r="AT16" i="21"/>
  <c r="AR16" i="21"/>
  <c r="AL16" i="21"/>
  <c r="AJ16" i="21"/>
  <c r="AD16" i="21"/>
  <c r="AB16" i="21"/>
  <c r="V16" i="21"/>
  <c r="T16" i="21"/>
  <c r="N16" i="21"/>
  <c r="E16" i="21"/>
  <c r="F16" i="21" s="1"/>
  <c r="D16" i="21"/>
  <c r="CX15" i="21"/>
  <c r="CV15" i="21"/>
  <c r="CP15" i="21"/>
  <c r="CN15" i="21"/>
  <c r="CH15" i="21"/>
  <c r="CF15" i="21"/>
  <c r="BZ15" i="21"/>
  <c r="BX15" i="21"/>
  <c r="BR15" i="21"/>
  <c r="BP15" i="21"/>
  <c r="BJ15" i="21"/>
  <c r="BH15" i="21"/>
  <c r="BB15" i="21"/>
  <c r="AT15" i="21"/>
  <c r="AL15" i="21"/>
  <c r="AD15" i="21"/>
  <c r="AB15" i="21"/>
  <c r="CT14" i="21"/>
  <c r="CX14" i="21" s="1"/>
  <c r="CR14" i="21"/>
  <c r="CR23" i="21" s="1"/>
  <c r="CR103" i="21" s="1"/>
  <c r="CR126" i="21" s="1"/>
  <c r="CL14" i="21"/>
  <c r="CP14" i="21" s="1"/>
  <c r="CJ14" i="21"/>
  <c r="CJ23" i="21" s="1"/>
  <c r="CJ103" i="21" s="1"/>
  <c r="CJ126" i="21" s="1"/>
  <c r="CD14" i="21"/>
  <c r="CD23" i="21" s="1"/>
  <c r="CB14" i="21"/>
  <c r="CB23" i="21" s="1"/>
  <c r="CB103" i="21" s="1"/>
  <c r="CB126" i="21" s="1"/>
  <c r="BZ14" i="21"/>
  <c r="BT14" i="21"/>
  <c r="BT23" i="21" s="1"/>
  <c r="BT103" i="21" s="1"/>
  <c r="BT126" i="21" s="1"/>
  <c r="BP23" i="21"/>
  <c r="BL14" i="21"/>
  <c r="BL23" i="21" s="1"/>
  <c r="BL103" i="21" s="1"/>
  <c r="BL126" i="21" s="1"/>
  <c r="BJ14" i="21"/>
  <c r="BD14" i="21"/>
  <c r="BD23" i="21" s="1"/>
  <c r="BD103" i="21" s="1"/>
  <c r="BD126" i="21" s="1"/>
  <c r="AV14" i="21"/>
  <c r="AV23" i="21" s="1"/>
  <c r="AV103" i="21" s="1"/>
  <c r="AV126" i="21" s="1"/>
  <c r="AN14" i="21"/>
  <c r="AN23" i="21" s="1"/>
  <c r="AN103" i="21" s="1"/>
  <c r="AN126" i="21" s="1"/>
  <c r="AF14" i="21"/>
  <c r="AF23" i="21" s="1"/>
  <c r="AF103" i="21" s="1"/>
  <c r="AF126" i="21" s="1"/>
  <c r="AD14" i="21"/>
  <c r="X14" i="21"/>
  <c r="X23" i="21" s="1"/>
  <c r="X103" i="21" s="1"/>
  <c r="X126" i="21" s="1"/>
  <c r="P14" i="21"/>
  <c r="P23" i="21" s="1"/>
  <c r="P103" i="21" s="1"/>
  <c r="P126" i="21" s="1"/>
  <c r="J14" i="21"/>
  <c r="H14" i="21"/>
  <c r="H23" i="21" s="1"/>
  <c r="H103" i="21" s="1"/>
  <c r="H126" i="21" s="1"/>
  <c r="CX10" i="21"/>
  <c r="CP10" i="21"/>
  <c r="CH10" i="21"/>
  <c r="BZ10" i="21"/>
  <c r="BR10" i="21"/>
  <c r="BJ10" i="21"/>
  <c r="BB10" i="21"/>
  <c r="AT10" i="21"/>
  <c r="D10" i="21"/>
  <c r="AD10" i="21" s="1"/>
  <c r="CX8" i="21"/>
  <c r="CP8" i="21"/>
  <c r="CH8" i="21"/>
  <c r="BZ8" i="21"/>
  <c r="BR8" i="21"/>
  <c r="BJ8" i="21"/>
  <c r="BB8" i="21"/>
  <c r="E8" i="21"/>
  <c r="D8" i="21"/>
  <c r="CT7" i="21"/>
  <c r="CR7" i="21"/>
  <c r="CL7" i="21"/>
  <c r="CJ7" i="21"/>
  <c r="CD7" i="21"/>
  <c r="CB7" i="21"/>
  <c r="BX122" i="21"/>
  <c r="BT7" i="21"/>
  <c r="BR7" i="21"/>
  <c r="BL7" i="21"/>
  <c r="BJ7" i="21"/>
  <c r="BD7" i="21"/>
  <c r="BB7" i="21"/>
  <c r="AV7" i="21"/>
  <c r="AR122" i="21"/>
  <c r="AN7" i="21"/>
  <c r="AJ97" i="21"/>
  <c r="AF7" i="21"/>
  <c r="AB83" i="21"/>
  <c r="X7" i="21"/>
  <c r="T83" i="21"/>
  <c r="P7" i="21"/>
  <c r="J7" i="21"/>
  <c r="L59" i="21" s="1"/>
  <c r="H7" i="21"/>
  <c r="N9" i="21" l="1"/>
  <c r="V9" i="21"/>
  <c r="N10" i="21"/>
  <c r="AR107" i="21"/>
  <c r="CV50" i="21"/>
  <c r="CN91" i="21"/>
  <c r="BX107" i="21"/>
  <c r="AZ75" i="21"/>
  <c r="L77" i="21"/>
  <c r="AB20" i="21"/>
  <c r="AB55" i="21"/>
  <c r="AB17" i="21"/>
  <c r="AJ115" i="21"/>
  <c r="AJ93" i="21"/>
  <c r="L63" i="21"/>
  <c r="D92" i="21"/>
  <c r="L41" i="21"/>
  <c r="AB45" i="21"/>
  <c r="AL50" i="21"/>
  <c r="AD77" i="21"/>
  <c r="V92" i="21"/>
  <c r="AR95" i="21"/>
  <c r="E17" i="21"/>
  <c r="AD50" i="21"/>
  <c r="AJ59" i="21"/>
  <c r="J27" i="21"/>
  <c r="D15" i="21"/>
  <c r="N15" i="21" s="1"/>
  <c r="AJ32" i="21"/>
  <c r="L54" i="21"/>
  <c r="AB56" i="21"/>
  <c r="AB79" i="21"/>
  <c r="T59" i="21"/>
  <c r="AJ66" i="21"/>
  <c r="AL43" i="21"/>
  <c r="E15" i="21"/>
  <c r="AJ48" i="21"/>
  <c r="AJ56" i="21"/>
  <c r="AD76" i="21"/>
  <c r="AR92" i="21"/>
  <c r="D93" i="21"/>
  <c r="N93" i="21" s="1"/>
  <c r="V75" i="21"/>
  <c r="D31" i="21"/>
  <c r="N31" i="21" s="1"/>
  <c r="L37" i="21"/>
  <c r="AB59" i="21"/>
  <c r="AT82" i="21"/>
  <c r="V112" i="21"/>
  <c r="L118" i="21"/>
  <c r="D122" i="21"/>
  <c r="N122" i="21" s="1"/>
  <c r="E96" i="21"/>
  <c r="AR17" i="21"/>
  <c r="AJ33" i="21"/>
  <c r="AB47" i="21"/>
  <c r="L69" i="21"/>
  <c r="D77" i="21"/>
  <c r="N77" i="21" s="1"/>
  <c r="L94" i="21"/>
  <c r="L29" i="21"/>
  <c r="AR31" i="21"/>
  <c r="L68" i="21"/>
  <c r="L83" i="21"/>
  <c r="AL91" i="21"/>
  <c r="AB116" i="21"/>
  <c r="T97" i="21"/>
  <c r="T77" i="21"/>
  <c r="L114" i="21"/>
  <c r="AT14" i="21"/>
  <c r="L19" i="21"/>
  <c r="T20" i="21"/>
  <c r="AD27" i="21"/>
  <c r="BH27" i="21"/>
  <c r="CN27" i="21"/>
  <c r="T29" i="21"/>
  <c r="L30" i="21"/>
  <c r="L32" i="21"/>
  <c r="AR32" i="21"/>
  <c r="AT43" i="21"/>
  <c r="AJ45" i="21"/>
  <c r="L48" i="21"/>
  <c r="AT50" i="21"/>
  <c r="AR51" i="21"/>
  <c r="AJ55" i="21"/>
  <c r="AR56" i="21"/>
  <c r="AR59" i="21"/>
  <c r="L62" i="21"/>
  <c r="T63" i="21"/>
  <c r="D66" i="21"/>
  <c r="N66" i="21" s="1"/>
  <c r="L67" i="21"/>
  <c r="AJ71" i="21"/>
  <c r="AL75" i="21"/>
  <c r="AB76" i="21"/>
  <c r="AJ79" i="21"/>
  <c r="AD82" i="21"/>
  <c r="E92" i="21"/>
  <c r="E93" i="21"/>
  <c r="AB94" i="21"/>
  <c r="AB97" i="21"/>
  <c r="AD112" i="21"/>
  <c r="AJ116" i="21"/>
  <c r="L123" i="21"/>
  <c r="AD91" i="21"/>
  <c r="T79" i="21"/>
  <c r="AT91" i="21"/>
  <c r="T94" i="21"/>
  <c r="L18" i="21"/>
  <c r="L38" i="21"/>
  <c r="AR44" i="21"/>
  <c r="L51" i="21"/>
  <c r="L53" i="21"/>
  <c r="AR55" i="21"/>
  <c r="L58" i="21"/>
  <c r="L61" i="21"/>
  <c r="E66" i="21"/>
  <c r="AB77" i="21"/>
  <c r="AJ80" i="21"/>
  <c r="T92" i="21"/>
  <c r="T93" i="21"/>
  <c r="AJ94" i="21"/>
  <c r="T96" i="21"/>
  <c r="L109" i="21"/>
  <c r="L115" i="21"/>
  <c r="AZ15" i="21"/>
  <c r="L36" i="21"/>
  <c r="AL27" i="21"/>
  <c r="T32" i="21"/>
  <c r="L33" i="21"/>
  <c r="V43" i="21"/>
  <c r="L44" i="21"/>
  <c r="AR45" i="21"/>
  <c r="V50" i="21"/>
  <c r="L52" i="21"/>
  <c r="T53" i="21"/>
  <c r="AJ54" i="21"/>
  <c r="L57" i="21"/>
  <c r="T58" i="21"/>
  <c r="L60" i="21"/>
  <c r="L66" i="21"/>
  <c r="AJ76" i="21"/>
  <c r="AL82" i="21"/>
  <c r="L88" i="21"/>
  <c r="V91" i="21"/>
  <c r="AB93" i="21"/>
  <c r="AR94" i="21"/>
  <c r="AB96" i="21"/>
  <c r="AL112" i="21"/>
  <c r="T115" i="21"/>
  <c r="L116" i="21"/>
  <c r="L124" i="21"/>
  <c r="N51" i="21"/>
  <c r="L108" i="21"/>
  <c r="AR33" i="21"/>
  <c r="AL7" i="21"/>
  <c r="T14" i="21"/>
  <c r="AZ14" i="21"/>
  <c r="L15" i="21"/>
  <c r="AJ20" i="21"/>
  <c r="AJ28" i="21"/>
  <c r="L31" i="21"/>
  <c r="CH14" i="21"/>
  <c r="T15" i="21"/>
  <c r="L16" i="21"/>
  <c r="D17" i="21"/>
  <c r="N17" i="21" s="1"/>
  <c r="AR20" i="21"/>
  <c r="T31" i="21"/>
  <c r="L34" i="21"/>
  <c r="L35" i="21"/>
  <c r="L39" i="21"/>
  <c r="T44" i="21"/>
  <c r="L45" i="21"/>
  <c r="L56" i="21"/>
  <c r="T66" i="21"/>
  <c r="AJ77" i="21"/>
  <c r="L80" i="21"/>
  <c r="AZ83" i="21"/>
  <c r="L84" i="21"/>
  <c r="L87" i="21"/>
  <c r="AB92" i="21"/>
  <c r="AJ96" i="21"/>
  <c r="L110" i="21"/>
  <c r="E98" i="21"/>
  <c r="D98" i="21"/>
  <c r="L122" i="21"/>
  <c r="L98" i="21"/>
  <c r="L17" i="21"/>
  <c r="AR28" i="21"/>
  <c r="AB30" i="21"/>
  <c r="AB31" i="21"/>
  <c r="AB32" i="21"/>
  <c r="T45" i="21"/>
  <c r="L47" i="21"/>
  <c r="AB48" i="21"/>
  <c r="T52" i="21"/>
  <c r="AJ58" i="21"/>
  <c r="L65" i="21"/>
  <c r="AB66" i="21"/>
  <c r="L71" i="21"/>
  <c r="L76" i="21"/>
  <c r="L79" i="21"/>
  <c r="N83" i="21"/>
  <c r="D82" i="21"/>
  <c r="N82" i="21" s="1"/>
  <c r="L86" i="21"/>
  <c r="AR93" i="21"/>
  <c r="AR96" i="21"/>
  <c r="AR97" i="21"/>
  <c r="AB115" i="21"/>
  <c r="L117" i="21"/>
  <c r="T55" i="21"/>
  <c r="T17" i="21"/>
  <c r="L28" i="21"/>
  <c r="AJ31" i="21"/>
  <c r="AB33" i="21"/>
  <c r="L40" i="21"/>
  <c r="AB44" i="21"/>
  <c r="T47" i="21"/>
  <c r="AB52" i="21"/>
  <c r="AR53" i="21"/>
  <c r="L55" i="21"/>
  <c r="T56" i="21"/>
  <c r="L64" i="21"/>
  <c r="L70" i="21"/>
  <c r="AR77" i="21"/>
  <c r="AR75" i="21" s="1"/>
  <c r="AZ84" i="21"/>
  <c r="AZ82" i="21" s="1"/>
  <c r="L85" i="21"/>
  <c r="AJ92" i="21"/>
  <c r="AB95" i="21"/>
  <c r="D107" i="21"/>
  <c r="N107" i="21" s="1"/>
  <c r="L113" i="21"/>
  <c r="E122" i="21"/>
  <c r="D112" i="21"/>
  <c r="N112" i="21" s="1"/>
  <c r="AJ43" i="21"/>
  <c r="AL10" i="21"/>
  <c r="D43" i="21"/>
  <c r="N43" i="21" s="1"/>
  <c r="V10" i="21"/>
  <c r="AB14" i="21"/>
  <c r="E59" i="21"/>
  <c r="J50" i="21"/>
  <c r="J101" i="21" s="1"/>
  <c r="J25" i="21" s="1"/>
  <c r="D59" i="21"/>
  <c r="N59" i="21" s="1"/>
  <c r="N44" i="21"/>
  <c r="AT7" i="21"/>
  <c r="AR83" i="21"/>
  <c r="AR82" i="21" s="1"/>
  <c r="AT8" i="21"/>
  <c r="AR15" i="21"/>
  <c r="AL8" i="21"/>
  <c r="AJ15" i="21"/>
  <c r="AJ83" i="21"/>
  <c r="AJ82" i="21" s="1"/>
  <c r="AD8" i="21"/>
  <c r="V8" i="21"/>
  <c r="L78" i="21"/>
  <c r="L92" i="21"/>
  <c r="N8" i="21"/>
  <c r="L93" i="21"/>
  <c r="L97" i="21"/>
  <c r="L96" i="21"/>
  <c r="L95" i="21"/>
  <c r="N92" i="21"/>
  <c r="N28" i="21"/>
  <c r="CN50" i="21"/>
  <c r="AF101" i="21"/>
  <c r="BX91" i="21"/>
  <c r="CF14" i="21"/>
  <c r="AJ107" i="21"/>
  <c r="BP107" i="21"/>
  <c r="CV107" i="21"/>
  <c r="CF91" i="21"/>
  <c r="BR14" i="21"/>
  <c r="CT23" i="21"/>
  <c r="CX23" i="21" s="1"/>
  <c r="BP43" i="21"/>
  <c r="CV43" i="21"/>
  <c r="BX50" i="21"/>
  <c r="BH75" i="21"/>
  <c r="BP82" i="21"/>
  <c r="CV82" i="21"/>
  <c r="BH91" i="21"/>
  <c r="BP14" i="21"/>
  <c r="N7" i="21"/>
  <c r="BZ7" i="21"/>
  <c r="BX27" i="21"/>
  <c r="CF43" i="21"/>
  <c r="AZ50" i="21"/>
  <c r="CF50" i="21"/>
  <c r="BH50" i="21"/>
  <c r="T112" i="21"/>
  <c r="AZ112" i="21"/>
  <c r="CF112" i="21"/>
  <c r="CV14" i="21"/>
  <c r="E7" i="21"/>
  <c r="F33" i="21" s="1"/>
  <c r="BX75" i="21"/>
  <c r="AV101" i="21"/>
  <c r="L14" i="21"/>
  <c r="AB82" i="21"/>
  <c r="BH82" i="21"/>
  <c r="CN82" i="21"/>
  <c r="BR91" i="21"/>
  <c r="CV91" i="21"/>
  <c r="AR112" i="21"/>
  <c r="BX112" i="21"/>
  <c r="BT101" i="21"/>
  <c r="CF27" i="21"/>
  <c r="BX82" i="21"/>
  <c r="BH112" i="21"/>
  <c r="CN112" i="21"/>
  <c r="P101" i="21"/>
  <c r="AR14" i="21"/>
  <c r="AZ27" i="21"/>
  <c r="CN75" i="21"/>
  <c r="E27" i="21"/>
  <c r="CV75" i="21"/>
  <c r="CF107" i="21"/>
  <c r="BP50" i="21"/>
  <c r="E43" i="21"/>
  <c r="T107" i="21"/>
  <c r="AZ107" i="21"/>
  <c r="BZ128" i="21"/>
  <c r="BP27" i="21"/>
  <c r="CV27" i="21"/>
  <c r="BH43" i="21"/>
  <c r="CN43" i="21"/>
  <c r="AZ43" i="21"/>
  <c r="T82" i="21"/>
  <c r="CF82" i="21"/>
  <c r="BP91" i="21"/>
  <c r="BZ130" i="21"/>
  <c r="CD103" i="21"/>
  <c r="CH23" i="21"/>
  <c r="CF23" i="21"/>
  <c r="BB14" i="21"/>
  <c r="BD101" i="21"/>
  <c r="AZ91" i="21"/>
  <c r="CF122" i="21"/>
  <c r="CD130" i="21"/>
  <c r="CH130" i="21" s="1"/>
  <c r="CH7" i="21"/>
  <c r="CL101" i="21"/>
  <c r="CL25" i="21" s="1"/>
  <c r="CP75" i="21"/>
  <c r="CN122" i="21"/>
  <c r="CP7" i="21"/>
  <c r="CL130" i="21"/>
  <c r="CP130" i="21" s="1"/>
  <c r="AJ14" i="21"/>
  <c r="F37" i="21"/>
  <c r="CT130" i="21"/>
  <c r="CX130" i="21" s="1"/>
  <c r="CV122" i="21"/>
  <c r="BX14" i="21"/>
  <c r="BZ75" i="21"/>
  <c r="AL14" i="21"/>
  <c r="CX7" i="21"/>
  <c r="BH14" i="21"/>
  <c r="BX43" i="21"/>
  <c r="AD75" i="21"/>
  <c r="BP75" i="21"/>
  <c r="AN101" i="21"/>
  <c r="CB101" i="21"/>
  <c r="CR101" i="21"/>
  <c r="BR23" i="21"/>
  <c r="CJ101" i="21"/>
  <c r="F107" i="21"/>
  <c r="AT75" i="21"/>
  <c r="CN14" i="21"/>
  <c r="AB122" i="21"/>
  <c r="AD7" i="21"/>
  <c r="J23" i="21"/>
  <c r="E75" i="21"/>
  <c r="X101" i="21"/>
  <c r="CD101" i="21"/>
  <c r="CD25" i="21" s="1"/>
  <c r="CT101" i="21"/>
  <c r="CT25" i="21" s="1"/>
  <c r="AB107" i="21"/>
  <c r="BH107" i="21"/>
  <c r="CN107" i="21"/>
  <c r="BP112" i="21"/>
  <c r="CV112" i="21"/>
  <c r="BR130" i="21"/>
  <c r="BP122" i="21"/>
  <c r="T122" i="21"/>
  <c r="V7" i="21"/>
  <c r="AJ122" i="21"/>
  <c r="BH122" i="21"/>
  <c r="BJ130" i="21"/>
  <c r="CL23" i="21"/>
  <c r="BJ75" i="21"/>
  <c r="H101" i="21"/>
  <c r="BL101" i="21"/>
  <c r="E112" i="21"/>
  <c r="F113" i="21"/>
  <c r="D7" i="21"/>
  <c r="E82" i="21"/>
  <c r="E107" i="21"/>
  <c r="F124" i="21"/>
  <c r="F122" i="21" s="1"/>
  <c r="BB130" i="21"/>
  <c r="AZ122" i="21"/>
  <c r="AB75" i="21" l="1"/>
  <c r="AJ112" i="21"/>
  <c r="L27" i="21"/>
  <c r="L107" i="21"/>
  <c r="CT103" i="21"/>
  <c r="CV103" i="21" s="1"/>
  <c r="T27" i="21"/>
  <c r="AR43" i="21"/>
  <c r="AJ75" i="21"/>
  <c r="AJ27" i="21"/>
  <c r="AJ91" i="21"/>
  <c r="E91" i="21"/>
  <c r="T75" i="21"/>
  <c r="T91" i="21"/>
  <c r="T50" i="21"/>
  <c r="L112" i="21"/>
  <c r="D91" i="21"/>
  <c r="N91" i="21" s="1"/>
  <c r="L82" i="21"/>
  <c r="D27" i="21"/>
  <c r="N27" i="21" s="1"/>
  <c r="E14" i="21"/>
  <c r="E23" i="21" s="1"/>
  <c r="BX23" i="21"/>
  <c r="D14" i="21"/>
  <c r="V14" i="21" s="1"/>
  <c r="AB43" i="21"/>
  <c r="AB50" i="21"/>
  <c r="F47" i="21"/>
  <c r="BZ23" i="21"/>
  <c r="F59" i="21"/>
  <c r="F56" i="21"/>
  <c r="AR27" i="21"/>
  <c r="F66" i="21"/>
  <c r="AB91" i="21"/>
  <c r="AJ50" i="21"/>
  <c r="F94" i="21"/>
  <c r="AR91" i="21"/>
  <c r="D50" i="21"/>
  <c r="F44" i="21"/>
  <c r="BZ103" i="21"/>
  <c r="D75" i="21"/>
  <c r="N75" i="21" s="1"/>
  <c r="L43" i="21"/>
  <c r="T43" i="21"/>
  <c r="AR50" i="21"/>
  <c r="F76" i="21"/>
  <c r="BZ126" i="21"/>
  <c r="AB112" i="21"/>
  <c r="F32" i="21"/>
  <c r="F52" i="21"/>
  <c r="AB27" i="21"/>
  <c r="F17" i="21"/>
  <c r="L50" i="21"/>
  <c r="F45" i="21"/>
  <c r="F20" i="21"/>
  <c r="F63" i="21"/>
  <c r="F29" i="21"/>
  <c r="F54" i="21"/>
  <c r="F116" i="21"/>
  <c r="F53" i="21"/>
  <c r="V23" i="21"/>
  <c r="L75" i="21"/>
  <c r="F51" i="21"/>
  <c r="BP101" i="21"/>
  <c r="AJ101" i="21"/>
  <c r="BB101" i="21"/>
  <c r="F30" i="21"/>
  <c r="F55" i="21"/>
  <c r="F98" i="21"/>
  <c r="F79" i="21"/>
  <c r="F80" i="21"/>
  <c r="F92" i="21"/>
  <c r="F46" i="21"/>
  <c r="F48" i="21"/>
  <c r="F77" i="21"/>
  <c r="F28" i="21"/>
  <c r="F31" i="21"/>
  <c r="BX103" i="21"/>
  <c r="F71" i="21"/>
  <c r="F115" i="21"/>
  <c r="F58" i="21"/>
  <c r="AT103" i="21"/>
  <c r="AL101" i="21"/>
  <c r="E50" i="21"/>
  <c r="AB103" i="21"/>
  <c r="AD130" i="21"/>
  <c r="AD23" i="21"/>
  <c r="AB23" i="21"/>
  <c r="L91" i="21"/>
  <c r="AL130" i="21"/>
  <c r="AT130" i="21"/>
  <c r="AJ23" i="21"/>
  <c r="AL23" i="21"/>
  <c r="AL126" i="21"/>
  <c r="F15" i="21"/>
  <c r="J130" i="21"/>
  <c r="N130" i="21" s="1"/>
  <c r="F84" i="21"/>
  <c r="F96" i="21"/>
  <c r="F97" i="21"/>
  <c r="F93" i="21"/>
  <c r="F83" i="21"/>
  <c r="F78" i="21"/>
  <c r="F95" i="21"/>
  <c r="T23" i="21"/>
  <c r="AR23" i="21"/>
  <c r="CV23" i="21"/>
  <c r="AT23" i="21"/>
  <c r="AZ101" i="21"/>
  <c r="BR101" i="21"/>
  <c r="AT126" i="21"/>
  <c r="BB23" i="21"/>
  <c r="AZ23" i="21"/>
  <c r="J103" i="21"/>
  <c r="L23" i="21"/>
  <c r="N23" i="21"/>
  <c r="AT101" i="21"/>
  <c r="AR101" i="21"/>
  <c r="L101" i="21"/>
  <c r="BP103" i="21"/>
  <c r="BR126" i="21"/>
  <c r="BR128" i="21"/>
  <c r="BR103" i="21"/>
  <c r="CP101" i="21"/>
  <c r="CN101" i="21"/>
  <c r="V101" i="21"/>
  <c r="T101" i="21"/>
  <c r="CD128" i="21"/>
  <c r="CH128" i="21" s="1"/>
  <c r="CF103" i="21"/>
  <c r="CD126" i="21"/>
  <c r="CH126" i="21" s="1"/>
  <c r="CH103" i="21"/>
  <c r="CX101" i="21"/>
  <c r="CV101" i="21"/>
  <c r="AD101" i="21"/>
  <c r="AB101" i="21"/>
  <c r="BJ23" i="21"/>
  <c r="BH23" i="21"/>
  <c r="BZ101" i="21"/>
  <c r="BX101" i="21"/>
  <c r="BH101" i="21"/>
  <c r="BJ101" i="21"/>
  <c r="CH101" i="21"/>
  <c r="CF101" i="21"/>
  <c r="CL103" i="21"/>
  <c r="CP23" i="21"/>
  <c r="CN23" i="21"/>
  <c r="CX103" i="21" l="1"/>
  <c r="CT126" i="21"/>
  <c r="CX126" i="21" s="1"/>
  <c r="CT128" i="21"/>
  <c r="CX128" i="21" s="1"/>
  <c r="E101" i="21"/>
  <c r="E25" i="21" s="1"/>
  <c r="D23" i="21"/>
  <c r="D101" i="21"/>
  <c r="F101" i="21" s="1"/>
  <c r="N14" i="21"/>
  <c r="F50" i="21"/>
  <c r="F43" i="21"/>
  <c r="F27" i="21"/>
  <c r="F14" i="21"/>
  <c r="F112" i="21"/>
  <c r="V128" i="21"/>
  <c r="F75" i="21"/>
  <c r="V130" i="21"/>
  <c r="N50" i="21"/>
  <c r="AT128" i="21"/>
  <c r="AR103" i="21"/>
  <c r="AL128" i="21"/>
  <c r="AJ103" i="21"/>
  <c r="AD103" i="21"/>
  <c r="AD128" i="21"/>
  <c r="AD126" i="21"/>
  <c r="V126" i="21"/>
  <c r="AL103" i="21"/>
  <c r="F91" i="21"/>
  <c r="F82" i="21"/>
  <c r="F23" i="21"/>
  <c r="CL126" i="21"/>
  <c r="CP126" i="21" s="1"/>
  <c r="CP103" i="21"/>
  <c r="CN103" i="21"/>
  <c r="CL128" i="21"/>
  <c r="CP128" i="21" s="1"/>
  <c r="J126" i="21"/>
  <c r="J128" i="21"/>
  <c r="N128" i="21" s="1"/>
  <c r="L103" i="21"/>
  <c r="BB128" i="21"/>
  <c r="AZ103" i="21"/>
  <c r="BB126" i="21"/>
  <c r="BB103" i="21"/>
  <c r="BJ103" i="21"/>
  <c r="BH103" i="21"/>
  <c r="BJ128" i="21"/>
  <c r="BJ126" i="21"/>
  <c r="CX111" i="19"/>
  <c r="CV111" i="19"/>
  <c r="CP111" i="19"/>
  <c r="CN111" i="19"/>
  <c r="CH111" i="19"/>
  <c r="CF111" i="19"/>
  <c r="BZ111" i="19"/>
  <c r="BX111" i="19"/>
  <c r="BR111" i="19"/>
  <c r="BP111" i="19"/>
  <c r="BJ111" i="19"/>
  <c r="BH111" i="19"/>
  <c r="BB111" i="19"/>
  <c r="AZ111" i="19"/>
  <c r="AT111" i="19"/>
  <c r="AR111" i="19"/>
  <c r="AL111" i="19"/>
  <c r="AJ111" i="19"/>
  <c r="AD111" i="19"/>
  <c r="AB111" i="19"/>
  <c r="V111" i="19"/>
  <c r="T111" i="19"/>
  <c r="N111" i="19"/>
  <c r="L111" i="19"/>
  <c r="E111" i="19"/>
  <c r="F111" i="19" s="1"/>
  <c r="D111" i="19"/>
  <c r="D14" i="19"/>
  <c r="CT124" i="19"/>
  <c r="CR124" i="19"/>
  <c r="CT114" i="19"/>
  <c r="CR114" i="19"/>
  <c r="CT109" i="19"/>
  <c r="CR109" i="19"/>
  <c r="CT93" i="19"/>
  <c r="CR93" i="19"/>
  <c r="CT82" i="19"/>
  <c r="CR82" i="19"/>
  <c r="CT75" i="19"/>
  <c r="CR75" i="19"/>
  <c r="CT50" i="19"/>
  <c r="CR50" i="19"/>
  <c r="CT43" i="19"/>
  <c r="CR43" i="19"/>
  <c r="CT27" i="19"/>
  <c r="CR27" i="19"/>
  <c r="CT13" i="19"/>
  <c r="CT23" i="19" s="1"/>
  <c r="CT105" i="19" s="1"/>
  <c r="CR13" i="19"/>
  <c r="CR23" i="19" s="1"/>
  <c r="CR105" i="19" s="1"/>
  <c r="CR128" i="19" s="1"/>
  <c r="CT7" i="19"/>
  <c r="CT132" i="19" s="1"/>
  <c r="CR7" i="19"/>
  <c r="CL124" i="19"/>
  <c r="CJ124" i="19"/>
  <c r="CL114" i="19"/>
  <c r="CJ114" i="19"/>
  <c r="CL109" i="19"/>
  <c r="CJ109" i="19"/>
  <c r="CL93" i="19"/>
  <c r="CJ93" i="19"/>
  <c r="CL82" i="19"/>
  <c r="CJ82" i="19"/>
  <c r="CL75" i="19"/>
  <c r="CJ75" i="19"/>
  <c r="CL50" i="19"/>
  <c r="CJ50" i="19"/>
  <c r="CL43" i="19"/>
  <c r="CJ43" i="19"/>
  <c r="CL27" i="19"/>
  <c r="CJ27" i="19"/>
  <c r="CL13" i="19"/>
  <c r="CL23" i="19" s="1"/>
  <c r="CL105" i="19" s="1"/>
  <c r="CJ13" i="19"/>
  <c r="CJ23" i="19" s="1"/>
  <c r="CJ105" i="19" s="1"/>
  <c r="CJ128" i="19" s="1"/>
  <c r="CL7" i="19"/>
  <c r="CL132" i="19" s="1"/>
  <c r="CJ7" i="19"/>
  <c r="CD124" i="19"/>
  <c r="CB124" i="19"/>
  <c r="CD114" i="19"/>
  <c r="CB114" i="19"/>
  <c r="CD109" i="19"/>
  <c r="CB109" i="19"/>
  <c r="CD93" i="19"/>
  <c r="CB93" i="19"/>
  <c r="CD82" i="19"/>
  <c r="CB82" i="19"/>
  <c r="CD75" i="19"/>
  <c r="CB75" i="19"/>
  <c r="CD50" i="19"/>
  <c r="CB50" i="19"/>
  <c r="CD43" i="19"/>
  <c r="CB43" i="19"/>
  <c r="CD27" i="19"/>
  <c r="CB27" i="19"/>
  <c r="CD13" i="19"/>
  <c r="CD23" i="19" s="1"/>
  <c r="CD105" i="19" s="1"/>
  <c r="CB13" i="19"/>
  <c r="CB23" i="19" s="1"/>
  <c r="CB105" i="19" s="1"/>
  <c r="CB128" i="19" s="1"/>
  <c r="CD7" i="19"/>
  <c r="CD132" i="19" s="1"/>
  <c r="CB7" i="19"/>
  <c r="BV124" i="19"/>
  <c r="BT124" i="19"/>
  <c r="BV114" i="19"/>
  <c r="BT114" i="19"/>
  <c r="BV109" i="19"/>
  <c r="BT109" i="19"/>
  <c r="BV93" i="19"/>
  <c r="BT93" i="19"/>
  <c r="BV82" i="19"/>
  <c r="BT82" i="19"/>
  <c r="BV75" i="19"/>
  <c r="BT75" i="19"/>
  <c r="BV50" i="19"/>
  <c r="BT50" i="19"/>
  <c r="BV43" i="19"/>
  <c r="BT43" i="19"/>
  <c r="BV27" i="19"/>
  <c r="BT27" i="19"/>
  <c r="BV13" i="19"/>
  <c r="BV23" i="19" s="1"/>
  <c r="BV105" i="19" s="1"/>
  <c r="BT13" i="19"/>
  <c r="BT23" i="19" s="1"/>
  <c r="BT105" i="19" s="1"/>
  <c r="BT128" i="19" s="1"/>
  <c r="BV7" i="19"/>
  <c r="BV132" i="19" s="1"/>
  <c r="BT7" i="19"/>
  <c r="BN124" i="19"/>
  <c r="BL124" i="19"/>
  <c r="BN114" i="19"/>
  <c r="BL114" i="19"/>
  <c r="BN109" i="19"/>
  <c r="BL109" i="19"/>
  <c r="BN93" i="19"/>
  <c r="BL93" i="19"/>
  <c r="BN82" i="19"/>
  <c r="BL82" i="19"/>
  <c r="BN75" i="19"/>
  <c r="BL75" i="19"/>
  <c r="BN50" i="19"/>
  <c r="BL50" i="19"/>
  <c r="BN43" i="19"/>
  <c r="BL43" i="19"/>
  <c r="BN27" i="19"/>
  <c r="BL27" i="19"/>
  <c r="BN13" i="19"/>
  <c r="BN23" i="19" s="1"/>
  <c r="BN105" i="19" s="1"/>
  <c r="BL13" i="19"/>
  <c r="BL23" i="19" s="1"/>
  <c r="BL105" i="19" s="1"/>
  <c r="BL128" i="19" s="1"/>
  <c r="BN7" i="19"/>
  <c r="BN132" i="19" s="1"/>
  <c r="BL7" i="19"/>
  <c r="BF124" i="19"/>
  <c r="BD124" i="19"/>
  <c r="BF114" i="19"/>
  <c r="BD114" i="19"/>
  <c r="BF109" i="19"/>
  <c r="BD109" i="19"/>
  <c r="BF93" i="19"/>
  <c r="BD93" i="19"/>
  <c r="BF82" i="19"/>
  <c r="BD82" i="19"/>
  <c r="BF75" i="19"/>
  <c r="BD75" i="19"/>
  <c r="BF50" i="19"/>
  <c r="BD50" i="19"/>
  <c r="BF43" i="19"/>
  <c r="BD43" i="19"/>
  <c r="BF27" i="19"/>
  <c r="BD27" i="19"/>
  <c r="BF13" i="19"/>
  <c r="BF23" i="19" s="1"/>
  <c r="BF105" i="19" s="1"/>
  <c r="BD13" i="19"/>
  <c r="BD23" i="19" s="1"/>
  <c r="BD105" i="19" s="1"/>
  <c r="BD128" i="19" s="1"/>
  <c r="BF7" i="19"/>
  <c r="BF132" i="19" s="1"/>
  <c r="BD7" i="19"/>
  <c r="AX124" i="19"/>
  <c r="AV124" i="19"/>
  <c r="AX114" i="19"/>
  <c r="AV114" i="19"/>
  <c r="AX109" i="19"/>
  <c r="AV109" i="19"/>
  <c r="AX93" i="19"/>
  <c r="AV93" i="19"/>
  <c r="AX82" i="19"/>
  <c r="AV82" i="19"/>
  <c r="AX75" i="19"/>
  <c r="AV75" i="19"/>
  <c r="AX50" i="19"/>
  <c r="AV50" i="19"/>
  <c r="AX43" i="19"/>
  <c r="AV43" i="19"/>
  <c r="AX27" i="19"/>
  <c r="AV27" i="19"/>
  <c r="AX13" i="19"/>
  <c r="AX23" i="19" s="1"/>
  <c r="AX105" i="19" s="1"/>
  <c r="AV13" i="19"/>
  <c r="AV23" i="19" s="1"/>
  <c r="AV105" i="19" s="1"/>
  <c r="AV128" i="19" s="1"/>
  <c r="AX7" i="19"/>
  <c r="AX132" i="19" s="1"/>
  <c r="AV7" i="19"/>
  <c r="AP124" i="19"/>
  <c r="AN124" i="19"/>
  <c r="AP114" i="19"/>
  <c r="AN114" i="19"/>
  <c r="AP109" i="19"/>
  <c r="AN109" i="19"/>
  <c r="AP93" i="19"/>
  <c r="AN93" i="19"/>
  <c r="AP82" i="19"/>
  <c r="AN82" i="19"/>
  <c r="AP75" i="19"/>
  <c r="AN75" i="19"/>
  <c r="AP50" i="19"/>
  <c r="AN50" i="19"/>
  <c r="AP43" i="19"/>
  <c r="AN43" i="19"/>
  <c r="AP27" i="19"/>
  <c r="AN27" i="19"/>
  <c r="AP13" i="19"/>
  <c r="AP23" i="19" s="1"/>
  <c r="AP105" i="19" s="1"/>
  <c r="AN13" i="19"/>
  <c r="AN23" i="19" s="1"/>
  <c r="AN105" i="19" s="1"/>
  <c r="AN128" i="19" s="1"/>
  <c r="AP7" i="19"/>
  <c r="AP132" i="19" s="1"/>
  <c r="AN7" i="19"/>
  <c r="AH124" i="19"/>
  <c r="AF124" i="19"/>
  <c r="AH114" i="19"/>
  <c r="AF114" i="19"/>
  <c r="AH109" i="19"/>
  <c r="AF109" i="19"/>
  <c r="AH93" i="19"/>
  <c r="AF93" i="19"/>
  <c r="AH82" i="19"/>
  <c r="AF82" i="19"/>
  <c r="AH75" i="19"/>
  <c r="AF75" i="19"/>
  <c r="AH50" i="19"/>
  <c r="AF50" i="19"/>
  <c r="AH43" i="19"/>
  <c r="AF43" i="19"/>
  <c r="AH27" i="19"/>
  <c r="AF27" i="19"/>
  <c r="AH13" i="19"/>
  <c r="AH23" i="19" s="1"/>
  <c r="AH105" i="19" s="1"/>
  <c r="AF13" i="19"/>
  <c r="AF23" i="19" s="1"/>
  <c r="AF105" i="19" s="1"/>
  <c r="AF128" i="19" s="1"/>
  <c r="AH7" i="19"/>
  <c r="AH132" i="19" s="1"/>
  <c r="AF7" i="19"/>
  <c r="Z124" i="19"/>
  <c r="X124" i="19"/>
  <c r="Z114" i="19"/>
  <c r="X114" i="19"/>
  <c r="Z109" i="19"/>
  <c r="X109" i="19"/>
  <c r="Z93" i="19"/>
  <c r="X93" i="19"/>
  <c r="Z82" i="19"/>
  <c r="X82" i="19"/>
  <c r="Z75" i="19"/>
  <c r="X75" i="19"/>
  <c r="Z50" i="19"/>
  <c r="X50" i="19"/>
  <c r="Z43" i="19"/>
  <c r="X43" i="19"/>
  <c r="Z27" i="19"/>
  <c r="X27" i="19"/>
  <c r="Z13" i="19"/>
  <c r="Z23" i="19" s="1"/>
  <c r="Z105" i="19" s="1"/>
  <c r="X13" i="19"/>
  <c r="X23" i="19" s="1"/>
  <c r="X105" i="19" s="1"/>
  <c r="X128" i="19" s="1"/>
  <c r="Z7" i="19"/>
  <c r="Z132" i="19" s="1"/>
  <c r="X7" i="19"/>
  <c r="R124" i="19"/>
  <c r="P124" i="19"/>
  <c r="R114" i="19"/>
  <c r="P114" i="19"/>
  <c r="R109" i="19"/>
  <c r="P109" i="19"/>
  <c r="R93" i="19"/>
  <c r="P93" i="19"/>
  <c r="R82" i="19"/>
  <c r="P82" i="19"/>
  <c r="R75" i="19"/>
  <c r="P75" i="19"/>
  <c r="R50" i="19"/>
  <c r="P50" i="19"/>
  <c r="R43" i="19"/>
  <c r="P43" i="19"/>
  <c r="R27" i="19"/>
  <c r="P27" i="19"/>
  <c r="R13" i="19"/>
  <c r="R23" i="19" s="1"/>
  <c r="R105" i="19" s="1"/>
  <c r="P13" i="19"/>
  <c r="P23" i="19" s="1"/>
  <c r="P105" i="19" s="1"/>
  <c r="P128" i="19" s="1"/>
  <c r="R7" i="19"/>
  <c r="R132" i="19" s="1"/>
  <c r="P7" i="19"/>
  <c r="H124" i="19"/>
  <c r="H114" i="19"/>
  <c r="H109" i="19"/>
  <c r="H93" i="19"/>
  <c r="H82" i="19"/>
  <c r="H75" i="19"/>
  <c r="H50" i="19"/>
  <c r="H43" i="19"/>
  <c r="H27" i="19"/>
  <c r="H13" i="19"/>
  <c r="H23" i="19" s="1"/>
  <c r="H105" i="19" s="1"/>
  <c r="H7" i="19"/>
  <c r="E130" i="21" l="1"/>
  <c r="N101" i="21"/>
  <c r="D25" i="21"/>
  <c r="D130" i="21"/>
  <c r="F130" i="21" s="1"/>
  <c r="V103" i="21"/>
  <c r="T103" i="21"/>
  <c r="E103" i="21"/>
  <c r="E128" i="21" s="1"/>
  <c r="D103" i="21"/>
  <c r="D128" i="21" s="1"/>
  <c r="F128" i="21" s="1"/>
  <c r="E126" i="21"/>
  <c r="D126" i="21"/>
  <c r="F126" i="21" s="1"/>
  <c r="CR103" i="19"/>
  <c r="CJ103" i="19"/>
  <c r="H103" i="19"/>
  <c r="CD103" i="19"/>
  <c r="CT103" i="19"/>
  <c r="AH103" i="19"/>
  <c r="AN103" i="19"/>
  <c r="R103" i="19"/>
  <c r="X103" i="19"/>
  <c r="AF103" i="19"/>
  <c r="AP103" i="19"/>
  <c r="P103" i="19"/>
  <c r="BN103" i="19"/>
  <c r="BT103" i="19"/>
  <c r="AX103" i="19"/>
  <c r="BD103" i="19"/>
  <c r="AV103" i="19"/>
  <c r="BF103" i="19"/>
  <c r="CL103" i="19"/>
  <c r="Z103" i="19"/>
  <c r="BL103" i="19"/>
  <c r="BV103" i="19"/>
  <c r="CB103" i="19"/>
  <c r="CT130" i="19"/>
  <c r="CT128" i="19"/>
  <c r="CL130" i="19"/>
  <c r="CL128" i="19"/>
  <c r="CD130" i="19"/>
  <c r="CD128" i="19"/>
  <c r="BV130" i="19"/>
  <c r="BV128" i="19"/>
  <c r="BN128" i="19"/>
  <c r="BN130" i="19"/>
  <c r="BF130" i="19"/>
  <c r="BF128" i="19"/>
  <c r="AX128" i="19"/>
  <c r="AX130" i="19"/>
  <c r="AP130" i="19"/>
  <c r="AP128" i="19"/>
  <c r="AH128" i="19"/>
  <c r="AH130" i="19"/>
  <c r="Z130" i="19"/>
  <c r="Z128" i="19"/>
  <c r="R128" i="19"/>
  <c r="R130" i="19"/>
  <c r="H128" i="19"/>
  <c r="L12" i="14"/>
  <c r="L11" i="14"/>
  <c r="L10" i="14"/>
  <c r="L9" i="14"/>
  <c r="L8" i="14"/>
  <c r="L7" i="14"/>
  <c r="L6" i="14"/>
  <c r="L16" i="14"/>
  <c r="L15" i="14"/>
  <c r="L14" i="14"/>
  <c r="L13" i="14"/>
  <c r="N103" i="21" l="1"/>
  <c r="F103" i="21"/>
  <c r="N126" i="21"/>
  <c r="BB34" i="19"/>
  <c r="CX109" i="19" l="1"/>
  <c r="CV13" i="19"/>
  <c r="CP114" i="19"/>
  <c r="CP109" i="19"/>
  <c r="CP43" i="19"/>
  <c r="CP27" i="19"/>
  <c r="CN13" i="19"/>
  <c r="BZ124" i="19"/>
  <c r="BX13" i="19"/>
  <c r="BR114" i="19"/>
  <c r="AD124" i="19"/>
  <c r="AD114" i="19"/>
  <c r="AD13" i="19"/>
  <c r="V114" i="19"/>
  <c r="V82" i="19"/>
  <c r="V75" i="19"/>
  <c r="V50" i="19"/>
  <c r="V43" i="19"/>
  <c r="V27" i="19"/>
  <c r="CX126" i="19"/>
  <c r="CP126" i="19"/>
  <c r="CH126" i="19"/>
  <c r="BZ126" i="19"/>
  <c r="BR126" i="19"/>
  <c r="BJ126" i="19"/>
  <c r="BB126" i="19"/>
  <c r="AT126" i="19"/>
  <c r="AL126" i="19"/>
  <c r="AD126" i="19"/>
  <c r="V126" i="19"/>
  <c r="E126" i="19"/>
  <c r="D126" i="19"/>
  <c r="N126" i="19" s="1"/>
  <c r="CX125" i="19"/>
  <c r="CP125" i="19"/>
  <c r="CH125" i="19"/>
  <c r="BZ125" i="19"/>
  <c r="BR125" i="19"/>
  <c r="BJ125" i="19"/>
  <c r="BB125" i="19"/>
  <c r="AT125" i="19"/>
  <c r="AL125" i="19"/>
  <c r="AD125" i="19"/>
  <c r="V125" i="19"/>
  <c r="N125" i="19"/>
  <c r="E125" i="19"/>
  <c r="D125" i="19"/>
  <c r="CP124" i="19"/>
  <c r="BJ124" i="19"/>
  <c r="AT124" i="19"/>
  <c r="J124" i="19"/>
  <c r="CX120" i="19"/>
  <c r="CP120" i="19"/>
  <c r="CH120" i="19"/>
  <c r="BZ120" i="19"/>
  <c r="BR120" i="19"/>
  <c r="BJ120" i="19"/>
  <c r="BB120" i="19"/>
  <c r="AT120" i="19"/>
  <c r="AL120" i="19"/>
  <c r="AD120" i="19"/>
  <c r="V120" i="19"/>
  <c r="N120" i="19"/>
  <c r="E120" i="19"/>
  <c r="D120" i="19"/>
  <c r="CX119" i="19"/>
  <c r="CP119" i="19"/>
  <c r="CH119" i="19"/>
  <c r="BZ119" i="19"/>
  <c r="BR119" i="19"/>
  <c r="BJ119" i="19"/>
  <c r="BB119" i="19"/>
  <c r="AT119" i="19"/>
  <c r="AL119" i="19"/>
  <c r="AD119" i="19"/>
  <c r="V119" i="19"/>
  <c r="N119" i="19"/>
  <c r="E119" i="19"/>
  <c r="D119" i="19"/>
  <c r="CX118" i="19"/>
  <c r="CP118" i="19"/>
  <c r="CH118" i="19"/>
  <c r="BZ118" i="19"/>
  <c r="BR118" i="19"/>
  <c r="BJ118" i="19"/>
  <c r="BB118" i="19"/>
  <c r="AT118" i="19"/>
  <c r="AL118" i="19"/>
  <c r="AD118" i="19"/>
  <c r="V118" i="19"/>
  <c r="N118" i="19"/>
  <c r="E118" i="19"/>
  <c r="F118" i="19" s="1"/>
  <c r="D118" i="19"/>
  <c r="CX117" i="19"/>
  <c r="CP117" i="19"/>
  <c r="CH117" i="19"/>
  <c r="BZ117" i="19"/>
  <c r="BR117" i="19"/>
  <c r="BJ117" i="19"/>
  <c r="BB117" i="19"/>
  <c r="AT117" i="19"/>
  <c r="AL117" i="19"/>
  <c r="AD117" i="19"/>
  <c r="V117" i="19"/>
  <c r="E117" i="19"/>
  <c r="D117" i="19"/>
  <c r="N117" i="19" s="1"/>
  <c r="CX116" i="19"/>
  <c r="CP116" i="19"/>
  <c r="CH116" i="19"/>
  <c r="BZ116" i="19"/>
  <c r="BR116" i="19"/>
  <c r="BJ116" i="19"/>
  <c r="BB116" i="19"/>
  <c r="AT116" i="19"/>
  <c r="AL116" i="19"/>
  <c r="AD116" i="19"/>
  <c r="V116" i="19"/>
  <c r="E116" i="19"/>
  <c r="D116" i="19"/>
  <c r="N116" i="19" s="1"/>
  <c r="CX115" i="19"/>
  <c r="CP115" i="19"/>
  <c r="CH115" i="19"/>
  <c r="BZ115" i="19"/>
  <c r="BR115" i="19"/>
  <c r="BJ115" i="19"/>
  <c r="BB115" i="19"/>
  <c r="AT115" i="19"/>
  <c r="AL115" i="19"/>
  <c r="AD115" i="19"/>
  <c r="V115" i="19"/>
  <c r="N115" i="19"/>
  <c r="E115" i="19"/>
  <c r="D115" i="19"/>
  <c r="CX114" i="19"/>
  <c r="CH114" i="19"/>
  <c r="BZ114" i="19"/>
  <c r="BB114" i="19"/>
  <c r="AT114" i="19"/>
  <c r="AL114" i="19"/>
  <c r="J114" i="19"/>
  <c r="CX112" i="19"/>
  <c r="CP112" i="19"/>
  <c r="CH112" i="19"/>
  <c r="BZ112" i="19"/>
  <c r="BR112" i="19"/>
  <c r="BJ112" i="19"/>
  <c r="BB112" i="19"/>
  <c r="AT112" i="19"/>
  <c r="AL112" i="19"/>
  <c r="AD112" i="19"/>
  <c r="V112" i="19"/>
  <c r="N112" i="19"/>
  <c r="E112" i="19"/>
  <c r="D112" i="19"/>
  <c r="CX110" i="19"/>
  <c r="CP110" i="19"/>
  <c r="CH110" i="19"/>
  <c r="BZ110" i="19"/>
  <c r="BR110" i="19"/>
  <c r="BJ110" i="19"/>
  <c r="BB110" i="19"/>
  <c r="AT110" i="19"/>
  <c r="AL110" i="19"/>
  <c r="AD110" i="19"/>
  <c r="V110" i="19"/>
  <c r="E110" i="19"/>
  <c r="D110" i="19"/>
  <c r="N110" i="19" s="1"/>
  <c r="CH109" i="19"/>
  <c r="BZ109" i="19"/>
  <c r="BR109" i="19"/>
  <c r="BJ109" i="19"/>
  <c r="BB109" i="19"/>
  <c r="AT109" i="19"/>
  <c r="AL109" i="19"/>
  <c r="AD109" i="19"/>
  <c r="V109" i="19"/>
  <c r="J109" i="19"/>
  <c r="CX99" i="19"/>
  <c r="CP99" i="19"/>
  <c r="CH99" i="19"/>
  <c r="BZ99" i="19"/>
  <c r="BR99" i="19"/>
  <c r="BJ99" i="19"/>
  <c r="BB99" i="19"/>
  <c r="AT99" i="19"/>
  <c r="AL99" i="19"/>
  <c r="AD99" i="19"/>
  <c r="V99" i="19"/>
  <c r="E99" i="19"/>
  <c r="D99" i="19"/>
  <c r="N99" i="19" s="1"/>
  <c r="E98" i="19"/>
  <c r="D98" i="19"/>
  <c r="N98" i="19" s="1"/>
  <c r="CN97" i="19"/>
  <c r="E97" i="19"/>
  <c r="D97" i="19"/>
  <c r="N97" i="19" s="1"/>
  <c r="N96" i="19"/>
  <c r="E96" i="19"/>
  <c r="D96" i="19"/>
  <c r="E95" i="19"/>
  <c r="D95" i="19"/>
  <c r="N95" i="19" s="1"/>
  <c r="CX94" i="19"/>
  <c r="CP94" i="19"/>
  <c r="CH94" i="19"/>
  <c r="BZ94" i="19"/>
  <c r="BR94" i="19"/>
  <c r="BJ94" i="19"/>
  <c r="BB94" i="19"/>
  <c r="AT94" i="19"/>
  <c r="AL94" i="19"/>
  <c r="AD94" i="19"/>
  <c r="V94" i="19"/>
  <c r="E94" i="19"/>
  <c r="D94" i="19"/>
  <c r="N94" i="19" s="1"/>
  <c r="BJ93" i="19"/>
  <c r="AT93" i="19"/>
  <c r="AD93" i="19"/>
  <c r="J93" i="19"/>
  <c r="BP88" i="19"/>
  <c r="E88" i="19"/>
  <c r="D88" i="19"/>
  <c r="N88" i="19" s="1"/>
  <c r="N87" i="19"/>
  <c r="E87" i="19"/>
  <c r="D87" i="19"/>
  <c r="E86" i="19"/>
  <c r="D86" i="19"/>
  <c r="N86" i="19" s="1"/>
  <c r="E85" i="19"/>
  <c r="D85" i="19"/>
  <c r="N85" i="19" s="1"/>
  <c r="CX84" i="19"/>
  <c r="CP84" i="19"/>
  <c r="CH84" i="19"/>
  <c r="BZ84" i="19"/>
  <c r="BR84" i="19"/>
  <c r="BJ84" i="19"/>
  <c r="BB84" i="19"/>
  <c r="AT84" i="19"/>
  <c r="AL84" i="19"/>
  <c r="AD84" i="19"/>
  <c r="V84" i="19"/>
  <c r="E84" i="19"/>
  <c r="D84" i="19"/>
  <c r="N84" i="19" s="1"/>
  <c r="CX83" i="19"/>
  <c r="CP83" i="19"/>
  <c r="CH83" i="19"/>
  <c r="BZ83" i="19"/>
  <c r="BR83" i="19"/>
  <c r="BJ83" i="19"/>
  <c r="BB83" i="19"/>
  <c r="AT83" i="19"/>
  <c r="AL83" i="19"/>
  <c r="AD83" i="19"/>
  <c r="V83" i="19"/>
  <c r="E83" i="19"/>
  <c r="D83" i="19"/>
  <c r="N83" i="19" s="1"/>
  <c r="CX82" i="19"/>
  <c r="CP82" i="19"/>
  <c r="CH82" i="19"/>
  <c r="BZ82" i="19"/>
  <c r="BR82" i="19"/>
  <c r="BJ82" i="19"/>
  <c r="BB82" i="19"/>
  <c r="AT82" i="19"/>
  <c r="AL82" i="19"/>
  <c r="AD82" i="19"/>
  <c r="J82" i="19"/>
  <c r="CX80" i="19"/>
  <c r="CP80" i="19"/>
  <c r="CH80" i="19"/>
  <c r="BZ80" i="19"/>
  <c r="BR80" i="19"/>
  <c r="BJ80" i="19"/>
  <c r="BB80" i="19"/>
  <c r="AT80" i="19"/>
  <c r="AL80" i="19"/>
  <c r="AD80" i="19"/>
  <c r="V80" i="19"/>
  <c r="E80" i="19"/>
  <c r="D80" i="19"/>
  <c r="N80" i="19" s="1"/>
  <c r="N79" i="19"/>
  <c r="E79" i="19"/>
  <c r="F79" i="19" s="1"/>
  <c r="D79" i="19"/>
  <c r="N78" i="19"/>
  <c r="E78" i="19"/>
  <c r="D78" i="19"/>
  <c r="CX77" i="19"/>
  <c r="CP77" i="19"/>
  <c r="CH77" i="19"/>
  <c r="BZ77" i="19"/>
  <c r="BR77" i="19"/>
  <c r="BJ77" i="19"/>
  <c r="BB77" i="19"/>
  <c r="AT77" i="19"/>
  <c r="AL77" i="19"/>
  <c r="AD77" i="19"/>
  <c r="V77" i="19"/>
  <c r="E77" i="19"/>
  <c r="D77" i="19"/>
  <c r="N77" i="19" s="1"/>
  <c r="CX76" i="19"/>
  <c r="CP76" i="19"/>
  <c r="CH76" i="19"/>
  <c r="BZ76" i="19"/>
  <c r="BR76" i="19"/>
  <c r="BJ76" i="19"/>
  <c r="BB76" i="19"/>
  <c r="AT76" i="19"/>
  <c r="AL76" i="19"/>
  <c r="AD76" i="19"/>
  <c r="V76" i="19"/>
  <c r="E76" i="19"/>
  <c r="D76" i="19"/>
  <c r="N76" i="19" s="1"/>
  <c r="CX75" i="19"/>
  <c r="CP75" i="19"/>
  <c r="CH75" i="19"/>
  <c r="BZ75" i="19"/>
  <c r="BR75" i="19"/>
  <c r="BJ75" i="19"/>
  <c r="BB75" i="19"/>
  <c r="AT75" i="19"/>
  <c r="AL75" i="19"/>
  <c r="AD75" i="19"/>
  <c r="J75" i="19"/>
  <c r="E71" i="19"/>
  <c r="D71" i="19"/>
  <c r="N71" i="19" s="1"/>
  <c r="BH70" i="19"/>
  <c r="E70" i="19"/>
  <c r="D70" i="19"/>
  <c r="N70" i="19" s="1"/>
  <c r="N69" i="19"/>
  <c r="E69" i="19"/>
  <c r="F69" i="19" s="1"/>
  <c r="D69" i="19"/>
  <c r="AR68" i="19"/>
  <c r="N68" i="19"/>
  <c r="E68" i="19"/>
  <c r="D68" i="19"/>
  <c r="N67" i="19"/>
  <c r="E67" i="19"/>
  <c r="F67" i="19" s="1"/>
  <c r="D67" i="19"/>
  <c r="E66" i="19"/>
  <c r="D66" i="19"/>
  <c r="N66" i="19" s="1"/>
  <c r="E65" i="19"/>
  <c r="D65" i="19"/>
  <c r="N65" i="19" s="1"/>
  <c r="E64" i="19"/>
  <c r="D64" i="19"/>
  <c r="N64" i="19" s="1"/>
  <c r="N63" i="19"/>
  <c r="E63" i="19"/>
  <c r="D63" i="19"/>
  <c r="E62" i="19"/>
  <c r="D62" i="19"/>
  <c r="N62" i="19" s="1"/>
  <c r="BH61" i="19"/>
  <c r="N61" i="19"/>
  <c r="E61" i="19"/>
  <c r="D61" i="19"/>
  <c r="AJ60" i="19"/>
  <c r="E60" i="19"/>
  <c r="D60" i="19"/>
  <c r="N60" i="19" s="1"/>
  <c r="E59" i="19"/>
  <c r="D59" i="19"/>
  <c r="N59" i="19" s="1"/>
  <c r="CV58" i="19"/>
  <c r="AR58" i="19"/>
  <c r="E58" i="19"/>
  <c r="D58" i="19"/>
  <c r="N58" i="19" s="1"/>
  <c r="N57" i="19"/>
  <c r="E57" i="19"/>
  <c r="F57" i="19" s="1"/>
  <c r="D57" i="19"/>
  <c r="E56" i="19"/>
  <c r="D56" i="19"/>
  <c r="N56" i="19" s="1"/>
  <c r="CV55" i="19"/>
  <c r="E55" i="19"/>
  <c r="D55" i="19"/>
  <c r="N55" i="19" s="1"/>
  <c r="AJ54" i="19"/>
  <c r="E54" i="19"/>
  <c r="D54" i="19"/>
  <c r="N54" i="19" s="1"/>
  <c r="E53" i="19"/>
  <c r="D53" i="19"/>
  <c r="N53" i="19" s="1"/>
  <c r="CV52" i="19"/>
  <c r="AR52" i="19"/>
  <c r="E52" i="19"/>
  <c r="D52" i="19"/>
  <c r="CX51" i="19"/>
  <c r="CP51" i="19"/>
  <c r="CH51" i="19"/>
  <c r="BZ51" i="19"/>
  <c r="BX51" i="19"/>
  <c r="BR51" i="19"/>
  <c r="BJ51" i="19"/>
  <c r="BB51" i="19"/>
  <c r="AT51" i="19"/>
  <c r="AL51" i="19"/>
  <c r="AD51" i="19"/>
  <c r="V51" i="19"/>
  <c r="E51" i="19"/>
  <c r="D51" i="19"/>
  <c r="N51" i="19" s="1"/>
  <c r="CX50" i="19"/>
  <c r="CP50" i="19"/>
  <c r="CH50" i="19"/>
  <c r="BZ50" i="19"/>
  <c r="BR50" i="19"/>
  <c r="BJ50" i="19"/>
  <c r="BB50" i="19"/>
  <c r="AT50" i="19"/>
  <c r="AL50" i="19"/>
  <c r="AD50" i="19"/>
  <c r="J50" i="19"/>
  <c r="CX48" i="19"/>
  <c r="CP48" i="19"/>
  <c r="CH48" i="19"/>
  <c r="BZ48" i="19"/>
  <c r="BR48" i="19"/>
  <c r="BJ48" i="19"/>
  <c r="BB48" i="19"/>
  <c r="AT48" i="19"/>
  <c r="AL48" i="19"/>
  <c r="AD48" i="19"/>
  <c r="V48" i="19"/>
  <c r="N48" i="19"/>
  <c r="CN47" i="19"/>
  <c r="E47" i="19"/>
  <c r="D47" i="19"/>
  <c r="N47" i="19" s="1"/>
  <c r="CX45" i="19"/>
  <c r="CV45" i="19"/>
  <c r="CP45" i="19"/>
  <c r="CH45" i="19"/>
  <c r="BZ45" i="19"/>
  <c r="BR45" i="19"/>
  <c r="BJ45" i="19"/>
  <c r="BB45" i="19"/>
  <c r="AT45" i="19"/>
  <c r="AL45" i="19"/>
  <c r="AD45" i="19"/>
  <c r="V45" i="19"/>
  <c r="E45" i="19"/>
  <c r="D45" i="19"/>
  <c r="CX44" i="19"/>
  <c r="CP44" i="19"/>
  <c r="CH44" i="19"/>
  <c r="BZ44" i="19"/>
  <c r="BR44" i="19"/>
  <c r="BJ44" i="19"/>
  <c r="BB44" i="19"/>
  <c r="AT44" i="19"/>
  <c r="AR44" i="19"/>
  <c r="AL44" i="19"/>
  <c r="AD44" i="19"/>
  <c r="V44" i="19"/>
  <c r="E44" i="19"/>
  <c r="D44" i="19"/>
  <c r="N44" i="19" s="1"/>
  <c r="BZ43" i="19"/>
  <c r="BJ43" i="19"/>
  <c r="AT43" i="19"/>
  <c r="AD43" i="19"/>
  <c r="J43" i="19"/>
  <c r="CX41" i="19"/>
  <c r="CP41" i="19"/>
  <c r="CH41" i="19"/>
  <c r="BZ41" i="19"/>
  <c r="BR41" i="19"/>
  <c r="BJ41" i="19"/>
  <c r="BB41" i="19"/>
  <c r="AT41" i="19"/>
  <c r="AL41" i="19"/>
  <c r="AJ41" i="19"/>
  <c r="AD41" i="19"/>
  <c r="V41" i="19"/>
  <c r="N41" i="19"/>
  <c r="E41" i="19"/>
  <c r="F41" i="19" s="1"/>
  <c r="D41" i="19"/>
  <c r="CX40" i="19"/>
  <c r="CP40" i="19"/>
  <c r="CH40" i="19"/>
  <c r="BZ40" i="19"/>
  <c r="BR40" i="19"/>
  <c r="BJ40" i="19"/>
  <c r="BB40" i="19"/>
  <c r="AT40" i="19"/>
  <c r="AL40" i="19"/>
  <c r="AD40" i="19"/>
  <c r="V40" i="19"/>
  <c r="E40" i="19"/>
  <c r="D40" i="19"/>
  <c r="N40" i="19" s="1"/>
  <c r="CX39" i="19"/>
  <c r="CP39" i="19"/>
  <c r="CH39" i="19"/>
  <c r="BZ39" i="19"/>
  <c r="BR39" i="19"/>
  <c r="BJ39" i="19"/>
  <c r="BH39" i="19"/>
  <c r="BB39" i="19"/>
  <c r="AT39" i="19"/>
  <c r="AL39" i="19"/>
  <c r="AD39" i="19"/>
  <c r="V39" i="19"/>
  <c r="N39" i="19"/>
  <c r="E39" i="19"/>
  <c r="D39" i="19"/>
  <c r="CX38" i="19"/>
  <c r="CP38" i="19"/>
  <c r="CH38" i="19"/>
  <c r="BZ38" i="19"/>
  <c r="BR38" i="19"/>
  <c r="BJ38" i="19"/>
  <c r="BB38" i="19"/>
  <c r="AT38" i="19"/>
  <c r="AL38" i="19"/>
  <c r="AD38" i="19"/>
  <c r="V38" i="19"/>
  <c r="N38" i="19"/>
  <c r="E38" i="19"/>
  <c r="F38" i="19" s="1"/>
  <c r="D38" i="19"/>
  <c r="CX37" i="19"/>
  <c r="CP37" i="19"/>
  <c r="CH37" i="19"/>
  <c r="BZ37" i="19"/>
  <c r="BR37" i="19"/>
  <c r="BJ37" i="19"/>
  <c r="BB37" i="19"/>
  <c r="AT37" i="19"/>
  <c r="AL37" i="19"/>
  <c r="AD37" i="19"/>
  <c r="V37" i="19"/>
  <c r="T37" i="19"/>
  <c r="E37" i="19"/>
  <c r="D37" i="19"/>
  <c r="N37" i="19" s="1"/>
  <c r="CP36" i="19"/>
  <c r="CH36" i="19"/>
  <c r="BZ36" i="19"/>
  <c r="BR36" i="19"/>
  <c r="BH36" i="19"/>
  <c r="AL36" i="19"/>
  <c r="AD36" i="19"/>
  <c r="V36" i="19"/>
  <c r="E36" i="19"/>
  <c r="D36" i="19"/>
  <c r="N36" i="19" s="1"/>
  <c r="CP35" i="19"/>
  <c r="CH35" i="19"/>
  <c r="BZ35" i="19"/>
  <c r="BR35" i="19"/>
  <c r="AR35" i="19"/>
  <c r="AL35" i="19"/>
  <c r="AD35" i="19"/>
  <c r="V35" i="19"/>
  <c r="E35" i="19"/>
  <c r="D35" i="19"/>
  <c r="N35" i="19" s="1"/>
  <c r="CP34" i="19"/>
  <c r="CH34" i="19"/>
  <c r="BZ34" i="19"/>
  <c r="BR34" i="19"/>
  <c r="BJ34" i="19"/>
  <c r="AL34" i="19"/>
  <c r="AD34" i="19"/>
  <c r="V34" i="19"/>
  <c r="E34" i="19"/>
  <c r="D34" i="19"/>
  <c r="N34" i="19" s="1"/>
  <c r="CX33" i="19"/>
  <c r="CV33" i="19"/>
  <c r="CP33" i="19"/>
  <c r="CH33" i="19"/>
  <c r="BZ33" i="19"/>
  <c r="BR33" i="19"/>
  <c r="BJ33" i="19"/>
  <c r="BB33" i="19"/>
  <c r="AT33" i="19"/>
  <c r="AL33" i="19"/>
  <c r="AD33" i="19"/>
  <c r="V33" i="19"/>
  <c r="E33" i="19"/>
  <c r="D33" i="19"/>
  <c r="N33" i="19" s="1"/>
  <c r="CX32" i="19"/>
  <c r="CP32" i="19"/>
  <c r="CH32" i="19"/>
  <c r="BZ32" i="19"/>
  <c r="BR32" i="19"/>
  <c r="BJ32" i="19"/>
  <c r="BB32" i="19"/>
  <c r="AT32" i="19"/>
  <c r="AL32" i="19"/>
  <c r="AJ32" i="19"/>
  <c r="AD32" i="19"/>
  <c r="V32" i="19"/>
  <c r="E32" i="19"/>
  <c r="D32" i="19"/>
  <c r="N32" i="19" s="1"/>
  <c r="T31" i="19"/>
  <c r="E31" i="19"/>
  <c r="D31" i="19"/>
  <c r="N31" i="19" s="1"/>
  <c r="CX30" i="19"/>
  <c r="CP30" i="19"/>
  <c r="CH30" i="19"/>
  <c r="CF30" i="19"/>
  <c r="BZ30" i="19"/>
  <c r="BR30" i="19"/>
  <c r="BJ30" i="19"/>
  <c r="BB30" i="19"/>
  <c r="AT30" i="19"/>
  <c r="AL30" i="19"/>
  <c r="AD30" i="19"/>
  <c r="V30" i="19"/>
  <c r="N30" i="19"/>
  <c r="E30" i="19"/>
  <c r="F30" i="19" s="1"/>
  <c r="D30" i="19"/>
  <c r="CX29" i="19"/>
  <c r="CP29" i="19"/>
  <c r="CH29" i="19"/>
  <c r="CF29" i="19"/>
  <c r="BZ29" i="19"/>
  <c r="BR29" i="19"/>
  <c r="BJ29" i="19"/>
  <c r="BB29" i="19"/>
  <c r="AT29" i="19"/>
  <c r="AL29" i="19"/>
  <c r="AD29" i="19"/>
  <c r="V29" i="19"/>
  <c r="T29" i="19"/>
  <c r="E29" i="19"/>
  <c r="D29" i="19"/>
  <c r="N29" i="19" s="1"/>
  <c r="CX28" i="19"/>
  <c r="CP28" i="19"/>
  <c r="CN28" i="19"/>
  <c r="CH28" i="19"/>
  <c r="BZ28" i="19"/>
  <c r="BR28" i="19"/>
  <c r="BJ28" i="19"/>
  <c r="BB28" i="19"/>
  <c r="AT28" i="19"/>
  <c r="AL28" i="19"/>
  <c r="AD28" i="19"/>
  <c r="V28" i="19"/>
  <c r="T28" i="19"/>
  <c r="E28" i="19"/>
  <c r="D28" i="19"/>
  <c r="N28" i="19" s="1"/>
  <c r="CX27" i="19"/>
  <c r="CH27" i="19"/>
  <c r="BZ27" i="19"/>
  <c r="BR27" i="19"/>
  <c r="BJ27" i="19"/>
  <c r="BB27" i="19"/>
  <c r="AT27" i="19"/>
  <c r="AL27" i="19"/>
  <c r="AD27" i="19"/>
  <c r="J27" i="19"/>
  <c r="CN20" i="19"/>
  <c r="CF20" i="19"/>
  <c r="AB20" i="19"/>
  <c r="T20" i="19"/>
  <c r="E20" i="19"/>
  <c r="D20" i="19"/>
  <c r="N20" i="19" s="1"/>
  <c r="CN19" i="19"/>
  <c r="CF19" i="19"/>
  <c r="AB19" i="19"/>
  <c r="T19" i="19"/>
  <c r="E19" i="19"/>
  <c r="D19" i="19"/>
  <c r="N19" i="19" s="1"/>
  <c r="CN18" i="19"/>
  <c r="CF18" i="19"/>
  <c r="AR18" i="19"/>
  <c r="AB18" i="19"/>
  <c r="T18" i="19"/>
  <c r="E18" i="19"/>
  <c r="D18" i="19"/>
  <c r="N18" i="19" s="1"/>
  <c r="BH17" i="19"/>
  <c r="E17" i="19"/>
  <c r="D17" i="19"/>
  <c r="N17" i="19" s="1"/>
  <c r="CX16" i="19"/>
  <c r="CP16" i="19"/>
  <c r="CN16" i="19"/>
  <c r="CH16" i="19"/>
  <c r="CF16" i="19"/>
  <c r="BZ16" i="19"/>
  <c r="BR16" i="19"/>
  <c r="BJ16" i="19"/>
  <c r="BB16" i="19"/>
  <c r="AT16" i="19"/>
  <c r="AL16" i="19"/>
  <c r="AD16" i="19"/>
  <c r="AB16" i="19"/>
  <c r="V16" i="19"/>
  <c r="T16" i="19"/>
  <c r="E16" i="19"/>
  <c r="D16" i="19"/>
  <c r="N16" i="19" s="1"/>
  <c r="CX15" i="19"/>
  <c r="CP15" i="19"/>
  <c r="CN15" i="19"/>
  <c r="CH15" i="19"/>
  <c r="BZ15" i="19"/>
  <c r="BR15" i="19"/>
  <c r="BJ15" i="19"/>
  <c r="BH15" i="19"/>
  <c r="BB15" i="19"/>
  <c r="AT15" i="19"/>
  <c r="AL15" i="19"/>
  <c r="AD15" i="19"/>
  <c r="AB15" i="19"/>
  <c r="V15" i="19"/>
  <c r="N15" i="19"/>
  <c r="E15" i="19"/>
  <c r="D15" i="19"/>
  <c r="CX14" i="19"/>
  <c r="CV14" i="19"/>
  <c r="CP14" i="19"/>
  <c r="CH14" i="19"/>
  <c r="BZ14" i="19"/>
  <c r="BX14" i="19"/>
  <c r="BR14" i="19"/>
  <c r="BJ14" i="19"/>
  <c r="BB14" i="19"/>
  <c r="AT14" i="19"/>
  <c r="AR14" i="19"/>
  <c r="AL14" i="19"/>
  <c r="AJ14" i="19"/>
  <c r="AD14" i="19"/>
  <c r="V14" i="19"/>
  <c r="E14" i="19"/>
  <c r="N14" i="19"/>
  <c r="CP13" i="19"/>
  <c r="BZ13" i="19"/>
  <c r="BP13" i="19"/>
  <c r="BJ13" i="19"/>
  <c r="BH13" i="19"/>
  <c r="AR13" i="19"/>
  <c r="J13" i="19"/>
  <c r="E9" i="19"/>
  <c r="D9" i="19"/>
  <c r="E8" i="19"/>
  <c r="D8" i="19"/>
  <c r="BZ8" i="19" s="1"/>
  <c r="CX7" i="19"/>
  <c r="CP7" i="19"/>
  <c r="CN39" i="19"/>
  <c r="CF37" i="19"/>
  <c r="CH7" i="19"/>
  <c r="BX85" i="19"/>
  <c r="BP20" i="19"/>
  <c r="BH65" i="19"/>
  <c r="AZ65" i="19"/>
  <c r="AT7" i="19"/>
  <c r="AR67" i="19"/>
  <c r="AL7" i="19"/>
  <c r="AD7" i="19"/>
  <c r="AB47" i="19"/>
  <c r="T36" i="19"/>
  <c r="V7" i="19"/>
  <c r="J7" i="19"/>
  <c r="J20" i="14" l="1"/>
  <c r="J18" i="14"/>
  <c r="AJ13" i="19"/>
  <c r="CH9" i="19"/>
  <c r="AD9" i="19"/>
  <c r="L63" i="19"/>
  <c r="T13" i="19"/>
  <c r="V8" i="19"/>
  <c r="CF13" i="19"/>
  <c r="AT13" i="19"/>
  <c r="D124" i="19"/>
  <c r="N124" i="19" s="1"/>
  <c r="F8" i="19"/>
  <c r="AB13" i="19"/>
  <c r="E109" i="19"/>
  <c r="CX9" i="19"/>
  <c r="E124" i="19"/>
  <c r="E75" i="19"/>
  <c r="BR8" i="19"/>
  <c r="D114" i="19"/>
  <c r="N114" i="19" s="1"/>
  <c r="D109" i="19"/>
  <c r="N109" i="19" s="1"/>
  <c r="D93" i="19"/>
  <c r="N93" i="19" s="1"/>
  <c r="D75" i="19"/>
  <c r="N75" i="19" s="1"/>
  <c r="D27" i="19"/>
  <c r="N27" i="19" s="1"/>
  <c r="J103" i="19"/>
  <c r="L103" i="19" s="1"/>
  <c r="E13" i="19"/>
  <c r="CH8" i="19"/>
  <c r="L13" i="19"/>
  <c r="L14" i="19"/>
  <c r="CP8" i="19"/>
  <c r="AD8" i="19"/>
  <c r="AL9" i="19"/>
  <c r="AT8" i="19"/>
  <c r="CP9" i="19"/>
  <c r="CF23" i="19"/>
  <c r="CH23" i="19"/>
  <c r="T23" i="19"/>
  <c r="V23" i="19"/>
  <c r="CV23" i="19"/>
  <c r="CX23" i="19"/>
  <c r="BP23" i="19"/>
  <c r="BR23" i="19"/>
  <c r="AZ23" i="19"/>
  <c r="BB23" i="19"/>
  <c r="L38" i="19"/>
  <c r="CX124" i="19"/>
  <c r="CV124" i="19"/>
  <c r="N7" i="19"/>
  <c r="AJ117" i="19"/>
  <c r="AJ110" i="19"/>
  <c r="AJ125" i="19"/>
  <c r="AJ98" i="19"/>
  <c r="AJ97" i="19"/>
  <c r="AJ96" i="19"/>
  <c r="AJ95" i="19"/>
  <c r="AJ119" i="19"/>
  <c r="AJ116" i="19"/>
  <c r="AJ112" i="19"/>
  <c r="AJ77" i="19"/>
  <c r="AJ118" i="19"/>
  <c r="AJ115" i="19"/>
  <c r="AJ71" i="19"/>
  <c r="AJ70" i="19"/>
  <c r="AJ69" i="19"/>
  <c r="AJ68" i="19"/>
  <c r="AJ67" i="19"/>
  <c r="AJ66" i="19"/>
  <c r="AJ65" i="19"/>
  <c r="AJ64" i="19"/>
  <c r="AJ63" i="19"/>
  <c r="AJ62" i="19"/>
  <c r="AJ61" i="19"/>
  <c r="AJ120" i="19"/>
  <c r="AJ94" i="19"/>
  <c r="AJ88" i="19"/>
  <c r="AJ87" i="19"/>
  <c r="AJ86" i="19"/>
  <c r="AJ85" i="19"/>
  <c r="AJ76" i="19"/>
  <c r="AJ126" i="19"/>
  <c r="AJ84" i="19"/>
  <c r="AJ99" i="19"/>
  <c r="AJ83" i="19"/>
  <c r="AJ51" i="19"/>
  <c r="AJ38" i="19"/>
  <c r="AJ44" i="19"/>
  <c r="AJ35" i="19"/>
  <c r="AJ34" i="19"/>
  <c r="AJ40" i="19"/>
  <c r="AJ36" i="19"/>
  <c r="AJ37" i="19"/>
  <c r="AJ28" i="19"/>
  <c r="AJ78" i="19"/>
  <c r="AJ47" i="19"/>
  <c r="AJ39" i="19"/>
  <c r="BZ7" i="19"/>
  <c r="CV117" i="19"/>
  <c r="CV125" i="19"/>
  <c r="CV98" i="19"/>
  <c r="CV97" i="19"/>
  <c r="CV96" i="19"/>
  <c r="CV95" i="19"/>
  <c r="CV119" i="19"/>
  <c r="CV116" i="19"/>
  <c r="CV112" i="19"/>
  <c r="CV110" i="19"/>
  <c r="CV77" i="19"/>
  <c r="CV126" i="19"/>
  <c r="CV71" i="19"/>
  <c r="CV70" i="19"/>
  <c r="CV69" i="19"/>
  <c r="CV68" i="19"/>
  <c r="CV67" i="19"/>
  <c r="CV66" i="19"/>
  <c r="CV65" i="19"/>
  <c r="CV64" i="19"/>
  <c r="CV63" i="19"/>
  <c r="CV62" i="19"/>
  <c r="CV61" i="19"/>
  <c r="CV88" i="19"/>
  <c r="CV87" i="19"/>
  <c r="CV86" i="19"/>
  <c r="CV85" i="19"/>
  <c r="CV76" i="19"/>
  <c r="CV84" i="19"/>
  <c r="CV118" i="19"/>
  <c r="CV94" i="19"/>
  <c r="CV51" i="19"/>
  <c r="CV38" i="19"/>
  <c r="CV44" i="19"/>
  <c r="CV78" i="19"/>
  <c r="CV40" i="19"/>
  <c r="CV115" i="19"/>
  <c r="CV37" i="19"/>
  <c r="CV34" i="19"/>
  <c r="CV28" i="19"/>
  <c r="CV99" i="19"/>
  <c r="CV79" i="19"/>
  <c r="CV35" i="19"/>
  <c r="CV47" i="19"/>
  <c r="CV39" i="19"/>
  <c r="CV36" i="19"/>
  <c r="CV30" i="19"/>
  <c r="AL8" i="19"/>
  <c r="CX8" i="19"/>
  <c r="AT9" i="19"/>
  <c r="D13" i="19"/>
  <c r="N13" i="19" s="1"/>
  <c r="T14" i="19"/>
  <c r="AZ14" i="19"/>
  <c r="CF14" i="19"/>
  <c r="AJ15" i="19"/>
  <c r="BP15" i="19"/>
  <c r="CV15" i="19"/>
  <c r="L17" i="19"/>
  <c r="BP17" i="19"/>
  <c r="AJ18" i="19"/>
  <c r="CV18" i="19"/>
  <c r="AJ19" i="19"/>
  <c r="CV19" i="19"/>
  <c r="AJ20" i="19"/>
  <c r="CV20" i="19"/>
  <c r="J23" i="19"/>
  <c r="E27" i="19"/>
  <c r="BH28" i="19"/>
  <c r="AZ30" i="19"/>
  <c r="CN30" i="19"/>
  <c r="AJ31" i="19"/>
  <c r="CF32" i="19"/>
  <c r="AR34" i="19"/>
  <c r="AZ35" i="19"/>
  <c r="CV41" i="19"/>
  <c r="BB43" i="19"/>
  <c r="AR54" i="19"/>
  <c r="AJ57" i="19"/>
  <c r="AR60" i="19"/>
  <c r="BP70" i="19"/>
  <c r="CV83" i="19"/>
  <c r="CV120" i="19"/>
  <c r="BB124" i="19"/>
  <c r="AZ124" i="19"/>
  <c r="AZ112" i="19"/>
  <c r="AZ118" i="19"/>
  <c r="AZ126" i="19"/>
  <c r="AZ115" i="19"/>
  <c r="AZ120" i="19"/>
  <c r="AZ117" i="19"/>
  <c r="AZ110" i="19"/>
  <c r="AZ98" i="19"/>
  <c r="AZ84" i="19"/>
  <c r="AZ71" i="19"/>
  <c r="AZ70" i="19"/>
  <c r="AZ69" i="19"/>
  <c r="AZ99" i="19"/>
  <c r="AZ88" i="19"/>
  <c r="AZ87" i="19"/>
  <c r="AZ86" i="19"/>
  <c r="AZ85" i="19"/>
  <c r="AZ119" i="19"/>
  <c r="AZ97" i="19"/>
  <c r="AZ83" i="19"/>
  <c r="AZ125" i="19"/>
  <c r="AZ116" i="19"/>
  <c r="AZ95" i="19"/>
  <c r="AZ77" i="19"/>
  <c r="AZ79" i="19"/>
  <c r="AZ78" i="19"/>
  <c r="AZ64" i="19"/>
  <c r="AZ39" i="19"/>
  <c r="AZ76" i="19"/>
  <c r="AZ45" i="19"/>
  <c r="AZ94" i="19"/>
  <c r="AZ63" i="19"/>
  <c r="AZ47" i="19"/>
  <c r="AZ41" i="19"/>
  <c r="AZ33" i="19"/>
  <c r="AZ96" i="19"/>
  <c r="AZ51" i="19"/>
  <c r="AZ38" i="19"/>
  <c r="AZ68" i="19"/>
  <c r="AZ62" i="19"/>
  <c r="AZ60" i="19"/>
  <c r="AZ59" i="19"/>
  <c r="AZ58" i="19"/>
  <c r="AZ57" i="19"/>
  <c r="AZ56" i="19"/>
  <c r="AZ55" i="19"/>
  <c r="AZ54" i="19"/>
  <c r="AZ53" i="19"/>
  <c r="AZ52" i="19"/>
  <c r="AZ44" i="19"/>
  <c r="L124" i="19"/>
  <c r="L119" i="19"/>
  <c r="L116" i="19"/>
  <c r="L112" i="19"/>
  <c r="L118" i="19"/>
  <c r="L126" i="19"/>
  <c r="L115" i="19"/>
  <c r="L110" i="19"/>
  <c r="L95" i="19"/>
  <c r="L94" i="19"/>
  <c r="L99" i="19"/>
  <c r="CF80" i="19"/>
  <c r="AZ80" i="19"/>
  <c r="T80" i="19"/>
  <c r="L76" i="19"/>
  <c r="L84" i="19"/>
  <c r="L98" i="19"/>
  <c r="BX80" i="19"/>
  <c r="AR80" i="19"/>
  <c r="L80" i="19"/>
  <c r="L79" i="19"/>
  <c r="L78" i="19"/>
  <c r="L125" i="19"/>
  <c r="L96" i="19"/>
  <c r="L83" i="19"/>
  <c r="CV80" i="19"/>
  <c r="BP80" i="19"/>
  <c r="AJ80" i="19"/>
  <c r="L97" i="19"/>
  <c r="L88" i="19"/>
  <c r="L70" i="19"/>
  <c r="L68" i="19"/>
  <c r="L62" i="19"/>
  <c r="CN48" i="19"/>
  <c r="BH48" i="19"/>
  <c r="AB48" i="19"/>
  <c r="L40" i="19"/>
  <c r="L36" i="19"/>
  <c r="L32" i="19"/>
  <c r="L31" i="19"/>
  <c r="L67" i="19"/>
  <c r="L66" i="19"/>
  <c r="L47" i="19"/>
  <c r="L37" i="19"/>
  <c r="L120" i="19"/>
  <c r="L85" i="19"/>
  <c r="BH80" i="19"/>
  <c r="L71" i="19"/>
  <c r="L65" i="19"/>
  <c r="CF48" i="19"/>
  <c r="AZ48" i="19"/>
  <c r="T48" i="19"/>
  <c r="L61" i="19"/>
  <c r="L60" i="19"/>
  <c r="L59" i="19"/>
  <c r="L58" i="19"/>
  <c r="L57" i="19"/>
  <c r="L56" i="19"/>
  <c r="L55" i="19"/>
  <c r="L54" i="19"/>
  <c r="L53" i="19"/>
  <c r="L52" i="19"/>
  <c r="L39" i="19"/>
  <c r="L30" i="19"/>
  <c r="L86" i="19"/>
  <c r="L64" i="19"/>
  <c r="BX48" i="19"/>
  <c r="AR48" i="19"/>
  <c r="L48" i="19"/>
  <c r="L45" i="19"/>
  <c r="CN80" i="19"/>
  <c r="L41" i="19"/>
  <c r="L33" i="19"/>
  <c r="AZ16" i="19"/>
  <c r="AZ29" i="19"/>
  <c r="CX43" i="19"/>
  <c r="BH16" i="19"/>
  <c r="AR19" i="19"/>
  <c r="AR20" i="19"/>
  <c r="AB28" i="19"/>
  <c r="AB29" i="19"/>
  <c r="BH29" i="19"/>
  <c r="CN29" i="19"/>
  <c r="T30" i="19"/>
  <c r="AZ31" i="19"/>
  <c r="AZ32" i="19"/>
  <c r="BP33" i="19"/>
  <c r="AZ34" i="19"/>
  <c r="BX38" i="19"/>
  <c r="N45" i="19"/>
  <c r="D43" i="19"/>
  <c r="N43" i="19" s="1"/>
  <c r="AR51" i="19"/>
  <c r="CV54" i="19"/>
  <c r="AJ56" i="19"/>
  <c r="AR57" i="19"/>
  <c r="CV60" i="19"/>
  <c r="L77" i="19"/>
  <c r="AB80" i="19"/>
  <c r="L87" i="19"/>
  <c r="E93" i="19"/>
  <c r="L117" i="19"/>
  <c r="AZ40" i="19"/>
  <c r="BH126" i="19"/>
  <c r="BH124" i="19"/>
  <c r="BH115" i="19"/>
  <c r="BH120" i="19"/>
  <c r="BH99" i="19"/>
  <c r="BH117" i="19"/>
  <c r="BH110" i="19"/>
  <c r="BH125" i="19"/>
  <c r="BH119" i="19"/>
  <c r="BH94" i="19"/>
  <c r="BH88" i="19"/>
  <c r="BH87" i="19"/>
  <c r="BH86" i="19"/>
  <c r="BH85" i="19"/>
  <c r="BH83" i="19"/>
  <c r="BH116" i="19"/>
  <c r="BH97" i="19"/>
  <c r="BH77" i="19"/>
  <c r="BH95" i="19"/>
  <c r="BH79" i="19"/>
  <c r="BH78" i="19"/>
  <c r="BH118" i="19"/>
  <c r="BH112" i="19"/>
  <c r="BH76" i="19"/>
  <c r="BH64" i="19"/>
  <c r="BH45" i="19"/>
  <c r="BH71" i="19"/>
  <c r="BH41" i="19"/>
  <c r="BH33" i="19"/>
  <c r="BH63" i="19"/>
  <c r="BH51" i="19"/>
  <c r="BH47" i="19"/>
  <c r="BH38" i="19"/>
  <c r="BH98" i="19"/>
  <c r="BH96" i="19"/>
  <c r="BH44" i="19"/>
  <c r="BH84" i="19"/>
  <c r="BH68" i="19"/>
  <c r="BH62" i="19"/>
  <c r="BH60" i="19"/>
  <c r="BH59" i="19"/>
  <c r="BH58" i="19"/>
  <c r="BH57" i="19"/>
  <c r="BH56" i="19"/>
  <c r="BH55" i="19"/>
  <c r="BH54" i="19"/>
  <c r="BH53" i="19"/>
  <c r="BH52" i="19"/>
  <c r="BH40" i="19"/>
  <c r="BH69" i="19"/>
  <c r="BH67" i="19"/>
  <c r="BH37" i="19"/>
  <c r="BH35" i="19"/>
  <c r="BH34" i="19"/>
  <c r="BB9" i="19"/>
  <c r="BX17" i="19"/>
  <c r="T112" i="19"/>
  <c r="T118" i="19"/>
  <c r="T126" i="19"/>
  <c r="T115" i="19"/>
  <c r="T120" i="19"/>
  <c r="T117" i="19"/>
  <c r="T110" i="19"/>
  <c r="T119" i="19"/>
  <c r="T99" i="19"/>
  <c r="T84" i="19"/>
  <c r="T79" i="19"/>
  <c r="T78" i="19"/>
  <c r="T125" i="19"/>
  <c r="T116" i="19"/>
  <c r="T98" i="19"/>
  <c r="T96" i="19"/>
  <c r="T83" i="19"/>
  <c r="T77" i="19"/>
  <c r="T71" i="19"/>
  <c r="T70" i="19"/>
  <c r="T69" i="19"/>
  <c r="T68" i="19"/>
  <c r="T67" i="19"/>
  <c r="T66" i="19"/>
  <c r="T65" i="19"/>
  <c r="T64" i="19"/>
  <c r="T63" i="19"/>
  <c r="T62" i="19"/>
  <c r="T61" i="19"/>
  <c r="T88" i="19"/>
  <c r="T87" i="19"/>
  <c r="T86" i="19"/>
  <c r="T85" i="19"/>
  <c r="T94" i="19"/>
  <c r="T95" i="19"/>
  <c r="T60" i="19"/>
  <c r="T59" i="19"/>
  <c r="T58" i="19"/>
  <c r="T57" i="19"/>
  <c r="T56" i="19"/>
  <c r="T55" i="19"/>
  <c r="T54" i="19"/>
  <c r="T53" i="19"/>
  <c r="T52" i="19"/>
  <c r="T39" i="19"/>
  <c r="T45" i="19"/>
  <c r="T41" i="19"/>
  <c r="T33" i="19"/>
  <c r="T51" i="19"/>
  <c r="T38" i="19"/>
  <c r="T44" i="19"/>
  <c r="T35" i="19"/>
  <c r="T34" i="19"/>
  <c r="BJ7" i="19"/>
  <c r="CF112" i="19"/>
  <c r="CF118" i="19"/>
  <c r="CF126" i="19"/>
  <c r="CF115" i="19"/>
  <c r="CF120" i="19"/>
  <c r="CF110" i="19"/>
  <c r="CF117" i="19"/>
  <c r="CF97" i="19"/>
  <c r="CF94" i="19"/>
  <c r="CF84" i="19"/>
  <c r="CF95" i="19"/>
  <c r="CF79" i="19"/>
  <c r="CF78" i="19"/>
  <c r="CF99" i="19"/>
  <c r="CF83" i="19"/>
  <c r="CF96" i="19"/>
  <c r="CF77" i="19"/>
  <c r="CF71" i="19"/>
  <c r="CF70" i="19"/>
  <c r="CF69" i="19"/>
  <c r="CF68" i="19"/>
  <c r="CF67" i="19"/>
  <c r="CF66" i="19"/>
  <c r="CF65" i="19"/>
  <c r="CF64" i="19"/>
  <c r="CF63" i="19"/>
  <c r="CF62" i="19"/>
  <c r="CF61" i="19"/>
  <c r="CF98" i="19"/>
  <c r="CF88" i="19"/>
  <c r="CF87" i="19"/>
  <c r="CF86" i="19"/>
  <c r="CF85" i="19"/>
  <c r="CF119" i="19"/>
  <c r="CF35" i="19"/>
  <c r="CF60" i="19"/>
  <c r="CF59" i="19"/>
  <c r="CF58" i="19"/>
  <c r="CF57" i="19"/>
  <c r="CF56" i="19"/>
  <c r="CF55" i="19"/>
  <c r="CF54" i="19"/>
  <c r="CF53" i="19"/>
  <c r="CF52" i="19"/>
  <c r="CF39" i="19"/>
  <c r="CF36" i="19"/>
  <c r="CF125" i="19"/>
  <c r="CF45" i="19"/>
  <c r="CF41" i="19"/>
  <c r="CF33" i="19"/>
  <c r="CF51" i="19"/>
  <c r="CF38" i="19"/>
  <c r="CF76" i="19"/>
  <c r="CF44" i="19"/>
  <c r="BB8" i="19"/>
  <c r="BJ9" i="19"/>
  <c r="AL13" i="19"/>
  <c r="BB13" i="19"/>
  <c r="BR13" i="19"/>
  <c r="CH13" i="19"/>
  <c r="CX13" i="19"/>
  <c r="AB14" i="19"/>
  <c r="BH14" i="19"/>
  <c r="CN14" i="19"/>
  <c r="L15" i="19"/>
  <c r="AR15" i="19"/>
  <c r="BX15" i="19"/>
  <c r="T17" i="19"/>
  <c r="CF17" i="19"/>
  <c r="AZ18" i="19"/>
  <c r="AZ19" i="19"/>
  <c r="AZ20" i="19"/>
  <c r="BH30" i="19"/>
  <c r="BH31" i="19"/>
  <c r="T32" i="19"/>
  <c r="CN32" i="19"/>
  <c r="L35" i="19"/>
  <c r="CN36" i="19"/>
  <c r="AB39" i="19"/>
  <c r="T40" i="19"/>
  <c r="CH43" i="19"/>
  <c r="L44" i="19"/>
  <c r="E43" i="19"/>
  <c r="BP45" i="19"/>
  <c r="AJ48" i="19"/>
  <c r="AJ53" i="19"/>
  <c r="AR56" i="19"/>
  <c r="CV57" i="19"/>
  <c r="AJ59" i="19"/>
  <c r="AR62" i="19"/>
  <c r="T76" i="19"/>
  <c r="CN118" i="19"/>
  <c r="BP48" i="19"/>
  <c r="AZ13" i="19"/>
  <c r="D7" i="19"/>
  <c r="AR124" i="19"/>
  <c r="AR119" i="19"/>
  <c r="AR98" i="19"/>
  <c r="AR116" i="19"/>
  <c r="AR112" i="19"/>
  <c r="AR118" i="19"/>
  <c r="AR126" i="19"/>
  <c r="AR115" i="19"/>
  <c r="AR96" i="19"/>
  <c r="AR120" i="19"/>
  <c r="AR117" i="19"/>
  <c r="AR94" i="19"/>
  <c r="AR76" i="19"/>
  <c r="AR71" i="19"/>
  <c r="AR70" i="19"/>
  <c r="AR69" i="19"/>
  <c r="AR88" i="19"/>
  <c r="AR87" i="19"/>
  <c r="AR86" i="19"/>
  <c r="AR85" i="19"/>
  <c r="AR84" i="19"/>
  <c r="AR110" i="19"/>
  <c r="AR99" i="19"/>
  <c r="AR97" i="19"/>
  <c r="AR95" i="19"/>
  <c r="AR83" i="19"/>
  <c r="AR125" i="19"/>
  <c r="AR66" i="19"/>
  <c r="AR65" i="19"/>
  <c r="AR61" i="19"/>
  <c r="AR40" i="19"/>
  <c r="AR36" i="19"/>
  <c r="AR32" i="19"/>
  <c r="AR77" i="19"/>
  <c r="AR37" i="19"/>
  <c r="AR64" i="19"/>
  <c r="AR78" i="19"/>
  <c r="AR39" i="19"/>
  <c r="AR31" i="19"/>
  <c r="AR30" i="19"/>
  <c r="AR63" i="19"/>
  <c r="AR47" i="19"/>
  <c r="AR45" i="19"/>
  <c r="AR79" i="19"/>
  <c r="AR41" i="19"/>
  <c r="AR33" i="19"/>
  <c r="BJ8" i="19"/>
  <c r="BR9" i="19"/>
  <c r="AJ16" i="19"/>
  <c r="BP16" i="19"/>
  <c r="CV16" i="19"/>
  <c r="AB17" i="19"/>
  <c r="CN17" i="19"/>
  <c r="BH18" i="19"/>
  <c r="BH19" i="19"/>
  <c r="BH20" i="19"/>
  <c r="BX28" i="19"/>
  <c r="AJ29" i="19"/>
  <c r="BP29" i="19"/>
  <c r="CV29" i="19"/>
  <c r="AB30" i="19"/>
  <c r="BX31" i="19"/>
  <c r="BH32" i="19"/>
  <c r="L34" i="19"/>
  <c r="AZ37" i="19"/>
  <c r="BP41" i="19"/>
  <c r="AL43" i="19"/>
  <c r="T47" i="19"/>
  <c r="E50" i="19"/>
  <c r="N52" i="19"/>
  <c r="D50" i="19"/>
  <c r="N50" i="19" s="1"/>
  <c r="AR53" i="19"/>
  <c r="CV56" i="19"/>
  <c r="AR59" i="19"/>
  <c r="BP64" i="19"/>
  <c r="AZ67" i="19"/>
  <c r="L69" i="19"/>
  <c r="E114" i="19"/>
  <c r="F115" i="19"/>
  <c r="CF116" i="19"/>
  <c r="AZ17" i="19"/>
  <c r="BX124" i="19"/>
  <c r="BX119" i="19"/>
  <c r="BX116" i="19"/>
  <c r="BX112" i="19"/>
  <c r="BX118" i="19"/>
  <c r="BX126" i="19"/>
  <c r="BX115" i="19"/>
  <c r="BX98" i="19"/>
  <c r="BX97" i="19"/>
  <c r="BX96" i="19"/>
  <c r="BX95" i="19"/>
  <c r="BX125" i="19"/>
  <c r="BX76" i="19"/>
  <c r="BX94" i="19"/>
  <c r="BX84" i="19"/>
  <c r="BX79" i="19"/>
  <c r="BX78" i="19"/>
  <c r="BX120" i="19"/>
  <c r="BX117" i="19"/>
  <c r="BX110" i="19"/>
  <c r="BX99" i="19"/>
  <c r="BX83" i="19"/>
  <c r="BX71" i="19"/>
  <c r="BX70" i="19"/>
  <c r="BX69" i="19"/>
  <c r="BX68" i="19"/>
  <c r="BX67" i="19"/>
  <c r="BX66" i="19"/>
  <c r="BX65" i="19"/>
  <c r="BX63" i="19"/>
  <c r="BX47" i="19"/>
  <c r="BX40" i="19"/>
  <c r="BX32" i="19"/>
  <c r="BX86" i="19"/>
  <c r="BX37" i="19"/>
  <c r="BX34" i="19"/>
  <c r="BX62" i="19"/>
  <c r="BX60" i="19"/>
  <c r="BX59" i="19"/>
  <c r="BX58" i="19"/>
  <c r="BX57" i="19"/>
  <c r="BX56" i="19"/>
  <c r="BX55" i="19"/>
  <c r="BX54" i="19"/>
  <c r="BX53" i="19"/>
  <c r="BX52" i="19"/>
  <c r="BX35" i="19"/>
  <c r="BX87" i="19"/>
  <c r="BX39" i="19"/>
  <c r="BX36" i="19"/>
  <c r="BX30" i="19"/>
  <c r="BX77" i="19"/>
  <c r="BX61" i="19"/>
  <c r="BX45" i="19"/>
  <c r="BX88" i="19"/>
  <c r="BX41" i="19"/>
  <c r="BX33" i="19"/>
  <c r="N9" i="19"/>
  <c r="BP14" i="19"/>
  <c r="CF15" i="19"/>
  <c r="CV17" i="19"/>
  <c r="L18" i="19"/>
  <c r="BP18" i="19"/>
  <c r="L19" i="19"/>
  <c r="BP19" i="19"/>
  <c r="AR28" i="19"/>
  <c r="CF31" i="19"/>
  <c r="AB32" i="19"/>
  <c r="CV32" i="19"/>
  <c r="AJ33" i="19"/>
  <c r="CN35" i="19"/>
  <c r="AR38" i="19"/>
  <c r="CF40" i="19"/>
  <c r="BX44" i="19"/>
  <c r="CV48" i="19"/>
  <c r="CV53" i="19"/>
  <c r="AJ55" i="19"/>
  <c r="CV59" i="19"/>
  <c r="BX64" i="19"/>
  <c r="AZ66" i="19"/>
  <c r="AJ79" i="19"/>
  <c r="AZ28" i="19"/>
  <c r="BB7" i="19"/>
  <c r="E7" i="19"/>
  <c r="F119" i="19" s="1"/>
  <c r="BP117" i="19"/>
  <c r="BP125" i="19"/>
  <c r="BP119" i="19"/>
  <c r="BP116" i="19"/>
  <c r="BP112" i="19"/>
  <c r="BP77" i="19"/>
  <c r="BP97" i="19"/>
  <c r="BP95" i="19"/>
  <c r="BP118" i="19"/>
  <c r="BP79" i="19"/>
  <c r="BP78" i="19"/>
  <c r="BP76" i="19"/>
  <c r="BP115" i="19"/>
  <c r="BP94" i="19"/>
  <c r="BP84" i="19"/>
  <c r="BP120" i="19"/>
  <c r="BP96" i="19"/>
  <c r="BP85" i="19"/>
  <c r="BP71" i="19"/>
  <c r="BP51" i="19"/>
  <c r="BP38" i="19"/>
  <c r="BP31" i="19"/>
  <c r="BP99" i="19"/>
  <c r="BP63" i="19"/>
  <c r="BP47" i="19"/>
  <c r="BP44" i="19"/>
  <c r="BP98" i="19"/>
  <c r="BP86" i="19"/>
  <c r="BP40" i="19"/>
  <c r="BP83" i="19"/>
  <c r="BP68" i="19"/>
  <c r="BP62" i="19"/>
  <c r="BP60" i="19"/>
  <c r="BP59" i="19"/>
  <c r="BP58" i="19"/>
  <c r="BP57" i="19"/>
  <c r="BP56" i="19"/>
  <c r="BP55" i="19"/>
  <c r="BP54" i="19"/>
  <c r="BP53" i="19"/>
  <c r="BP52" i="19"/>
  <c r="BP37" i="19"/>
  <c r="BP34" i="19"/>
  <c r="BP28" i="19"/>
  <c r="BP87" i="19"/>
  <c r="BP69" i="19"/>
  <c r="BP67" i="19"/>
  <c r="BP35" i="19"/>
  <c r="BP126" i="19"/>
  <c r="BP66" i="19"/>
  <c r="BP65" i="19"/>
  <c r="BP61" i="19"/>
  <c r="BP39" i="19"/>
  <c r="BP36" i="19"/>
  <c r="BP30" i="19"/>
  <c r="BZ9" i="19"/>
  <c r="T15" i="19"/>
  <c r="AZ15" i="19"/>
  <c r="AJ17" i="19"/>
  <c r="L20" i="19"/>
  <c r="AB126" i="19"/>
  <c r="AB124" i="19"/>
  <c r="AB115" i="19"/>
  <c r="AB120" i="19"/>
  <c r="AB99" i="19"/>
  <c r="AB117" i="19"/>
  <c r="AB110" i="19"/>
  <c r="AB125" i="19"/>
  <c r="AB119" i="19"/>
  <c r="AB94" i="19"/>
  <c r="AB116" i="19"/>
  <c r="AB79" i="19"/>
  <c r="AB78" i="19"/>
  <c r="AB98" i="19"/>
  <c r="AB96" i="19"/>
  <c r="AB83" i="19"/>
  <c r="AB112" i="19"/>
  <c r="AB77" i="19"/>
  <c r="AB118" i="19"/>
  <c r="AB71" i="19"/>
  <c r="AB70" i="19"/>
  <c r="AB69" i="19"/>
  <c r="AB68" i="19"/>
  <c r="AB67" i="19"/>
  <c r="AB66" i="19"/>
  <c r="AB65" i="19"/>
  <c r="AB64" i="19"/>
  <c r="AB63" i="19"/>
  <c r="AB62" i="19"/>
  <c r="AB88" i="19"/>
  <c r="AB87" i="19"/>
  <c r="AB86" i="19"/>
  <c r="AB85" i="19"/>
  <c r="AB97" i="19"/>
  <c r="AB76" i="19"/>
  <c r="AB95" i="19"/>
  <c r="AB60" i="19"/>
  <c r="AB59" i="19"/>
  <c r="AB58" i="19"/>
  <c r="AB57" i="19"/>
  <c r="AB56" i="19"/>
  <c r="AB55" i="19"/>
  <c r="AB54" i="19"/>
  <c r="AB53" i="19"/>
  <c r="AB52" i="19"/>
  <c r="AB45" i="19"/>
  <c r="AB84" i="19"/>
  <c r="AB61" i="19"/>
  <c r="AB41" i="19"/>
  <c r="AB33" i="19"/>
  <c r="AB51" i="19"/>
  <c r="AB38" i="19"/>
  <c r="AB44" i="19"/>
  <c r="AB35" i="19"/>
  <c r="AB34" i="19"/>
  <c r="AB40" i="19"/>
  <c r="AB36" i="19"/>
  <c r="AB37" i="19"/>
  <c r="AB31" i="19"/>
  <c r="BR7" i="19"/>
  <c r="CN126" i="19"/>
  <c r="CN124" i="19"/>
  <c r="CN115" i="19"/>
  <c r="CN120" i="19"/>
  <c r="CN110" i="19"/>
  <c r="CN99" i="19"/>
  <c r="CN117" i="19"/>
  <c r="CN98" i="19"/>
  <c r="CN125" i="19"/>
  <c r="CN119" i="19"/>
  <c r="CN94" i="19"/>
  <c r="CN112" i="19"/>
  <c r="CN95" i="19"/>
  <c r="CN79" i="19"/>
  <c r="CN78" i="19"/>
  <c r="CN83" i="19"/>
  <c r="CN77" i="19"/>
  <c r="CN96" i="19"/>
  <c r="CN71" i="19"/>
  <c r="CN70" i="19"/>
  <c r="CN69" i="19"/>
  <c r="CN68" i="19"/>
  <c r="CN67" i="19"/>
  <c r="CN66" i="19"/>
  <c r="CN65" i="19"/>
  <c r="CN64" i="19"/>
  <c r="CN63" i="19"/>
  <c r="CN62" i="19"/>
  <c r="CN61" i="19"/>
  <c r="CN116" i="19"/>
  <c r="CN88" i="19"/>
  <c r="CN87" i="19"/>
  <c r="CN86" i="19"/>
  <c r="CN85" i="19"/>
  <c r="CN76" i="19"/>
  <c r="CN60" i="19"/>
  <c r="CN59" i="19"/>
  <c r="CN58" i="19"/>
  <c r="CN57" i="19"/>
  <c r="CN56" i="19"/>
  <c r="CN55" i="19"/>
  <c r="CN54" i="19"/>
  <c r="CN53" i="19"/>
  <c r="CN52" i="19"/>
  <c r="CN45" i="19"/>
  <c r="CN41" i="19"/>
  <c r="CN33" i="19"/>
  <c r="CN51" i="19"/>
  <c r="CN38" i="19"/>
  <c r="CN44" i="19"/>
  <c r="CN40" i="19"/>
  <c r="CN37" i="19"/>
  <c r="CN34" i="19"/>
  <c r="CN31" i="19"/>
  <c r="N8" i="19"/>
  <c r="V9" i="19"/>
  <c r="L16" i="19"/>
  <c r="AR16" i="19"/>
  <c r="BX16" i="19"/>
  <c r="AR17" i="19"/>
  <c r="BX18" i="19"/>
  <c r="BX19" i="19"/>
  <c r="BX20" i="19"/>
  <c r="L28" i="19"/>
  <c r="CF28" i="19"/>
  <c r="L29" i="19"/>
  <c r="AR29" i="19"/>
  <c r="BX29" i="19"/>
  <c r="AJ30" i="19"/>
  <c r="CV31" i="19"/>
  <c r="BP32" i="19"/>
  <c r="CF34" i="19"/>
  <c r="AZ36" i="19"/>
  <c r="BR43" i="19"/>
  <c r="AJ45" i="19"/>
  <c r="CF47" i="19"/>
  <c r="L51" i="19"/>
  <c r="AJ52" i="19"/>
  <c r="AR55" i="19"/>
  <c r="AJ58" i="19"/>
  <c r="AZ61" i="19"/>
  <c r="BH66" i="19"/>
  <c r="CN84" i="19"/>
  <c r="CP93" i="19"/>
  <c r="T97" i="19"/>
  <c r="BP110" i="19"/>
  <c r="E82" i="19"/>
  <c r="BB93" i="19"/>
  <c r="BZ132" i="19"/>
  <c r="BJ114" i="19"/>
  <c r="AL93" i="19"/>
  <c r="BZ93" i="19"/>
  <c r="CX132" i="19"/>
  <c r="CX93" i="19"/>
  <c r="CH124" i="19"/>
  <c r="CF124" i="19"/>
  <c r="D82" i="19"/>
  <c r="N82" i="19" s="1"/>
  <c r="AL124" i="19"/>
  <c r="AJ124" i="19"/>
  <c r="V93" i="19"/>
  <c r="CH132" i="19"/>
  <c r="CH93" i="19"/>
  <c r="BR124" i="19"/>
  <c r="BP124" i="19"/>
  <c r="BR93" i="19"/>
  <c r="V124" i="19"/>
  <c r="T124" i="19"/>
  <c r="CN43" i="19" l="1"/>
  <c r="BX43" i="19"/>
  <c r="AR43" i="19"/>
  <c r="CF109" i="19"/>
  <c r="BP43" i="19"/>
  <c r="BP109" i="19"/>
  <c r="F36" i="19"/>
  <c r="F120" i="19"/>
  <c r="BJ132" i="19"/>
  <c r="AL132" i="19"/>
  <c r="AD132" i="19"/>
  <c r="V132" i="19"/>
  <c r="V13" i="19"/>
  <c r="J132" i="19"/>
  <c r="N132" i="19" s="1"/>
  <c r="L50" i="19"/>
  <c r="BX82" i="19"/>
  <c r="BX109" i="19"/>
  <c r="BX93" i="19"/>
  <c r="BH109" i="19"/>
  <c r="AZ75" i="19"/>
  <c r="CV114" i="19"/>
  <c r="CN75" i="19"/>
  <c r="CN93" i="19"/>
  <c r="CN27" i="19"/>
  <c r="CF43" i="19"/>
  <c r="BX50" i="19"/>
  <c r="BH75" i="19"/>
  <c r="BH93" i="19"/>
  <c r="BH114" i="19"/>
  <c r="AR109" i="19"/>
  <c r="F84" i="19"/>
  <c r="AL23" i="19"/>
  <c r="F98" i="19"/>
  <c r="AJ109" i="19"/>
  <c r="AJ23" i="19"/>
  <c r="F95" i="19"/>
  <c r="AB75" i="19"/>
  <c r="F116" i="19"/>
  <c r="T109" i="19"/>
  <c r="F97" i="19"/>
  <c r="F99" i="19"/>
  <c r="F85" i="19"/>
  <c r="T27" i="19"/>
  <c r="L109" i="19"/>
  <c r="D103" i="19"/>
  <c r="N103" i="19" s="1"/>
  <c r="E103" i="19"/>
  <c r="L43" i="19"/>
  <c r="L27" i="19"/>
  <c r="V130" i="19"/>
  <c r="V105" i="19"/>
  <c r="T105" i="19"/>
  <c r="V128" i="19"/>
  <c r="BR105" i="19"/>
  <c r="BP105" i="19"/>
  <c r="CP103" i="19"/>
  <c r="CN103" i="19"/>
  <c r="T82" i="19"/>
  <c r="L82" i="19"/>
  <c r="CV82" i="19"/>
  <c r="F40" i="19"/>
  <c r="AT103" i="19"/>
  <c r="AR103" i="19"/>
  <c r="BJ103" i="19"/>
  <c r="BH103" i="19"/>
  <c r="F86" i="19"/>
  <c r="AB109" i="19"/>
  <c r="BP82" i="19"/>
  <c r="AR27" i="19"/>
  <c r="BX114" i="19"/>
  <c r="BX27" i="19"/>
  <c r="AT132" i="19"/>
  <c r="T75" i="19"/>
  <c r="BH43" i="19"/>
  <c r="F96" i="19"/>
  <c r="AB27" i="19"/>
  <c r="L93" i="19"/>
  <c r="AZ43" i="19"/>
  <c r="AZ82" i="19"/>
  <c r="CP23" i="19"/>
  <c r="CN23" i="19"/>
  <c r="CV27" i="19"/>
  <c r="CV50" i="19"/>
  <c r="F31" i="19"/>
  <c r="F126" i="19"/>
  <c r="F94" i="19"/>
  <c r="AL103" i="19"/>
  <c r="AJ103" i="19"/>
  <c r="F88" i="19"/>
  <c r="BB103" i="19"/>
  <c r="AZ103" i="19"/>
  <c r="CF27" i="19"/>
  <c r="CN50" i="19"/>
  <c r="CN109" i="19"/>
  <c r="BX75" i="19"/>
  <c r="F45" i="19"/>
  <c r="F34" i="19"/>
  <c r="AR50" i="19"/>
  <c r="L75" i="19"/>
  <c r="AZ109" i="19"/>
  <c r="BZ23" i="19"/>
  <c r="BX23" i="19"/>
  <c r="CV93" i="19"/>
  <c r="AJ43" i="19"/>
  <c r="AJ75" i="19"/>
  <c r="F19" i="19"/>
  <c r="F20" i="19"/>
  <c r="F32" i="19"/>
  <c r="AB50" i="19"/>
  <c r="BP27" i="19"/>
  <c r="BR132" i="19"/>
  <c r="CF93" i="19"/>
  <c r="CF114" i="19"/>
  <c r="T43" i="19"/>
  <c r="BH82" i="19"/>
  <c r="L114" i="19"/>
  <c r="BJ23" i="19"/>
  <c r="BH23" i="19"/>
  <c r="CV109" i="19"/>
  <c r="AJ27" i="19"/>
  <c r="F14" i="19"/>
  <c r="F17" i="19"/>
  <c r="BZ103" i="19"/>
  <c r="BX103" i="19"/>
  <c r="CN114" i="19"/>
  <c r="BP50" i="19"/>
  <c r="BP93" i="19"/>
  <c r="AR114" i="19"/>
  <c r="CF75" i="19"/>
  <c r="CF82" i="19"/>
  <c r="AZ93" i="19"/>
  <c r="AT23" i="19"/>
  <c r="AR23" i="19"/>
  <c r="AJ50" i="19"/>
  <c r="AB93" i="19"/>
  <c r="AB114" i="19"/>
  <c r="BP114" i="19"/>
  <c r="F125" i="19"/>
  <c r="F112" i="19"/>
  <c r="F110" i="19"/>
  <c r="F117" i="19"/>
  <c r="F70" i="19"/>
  <c r="F68" i="19"/>
  <c r="F62" i="19"/>
  <c r="F66" i="19"/>
  <c r="F47" i="19"/>
  <c r="F37" i="19"/>
  <c r="F71" i="19"/>
  <c r="F83" i="19"/>
  <c r="F61" i="19"/>
  <c r="F60" i="19"/>
  <c r="F59" i="19"/>
  <c r="F58" i="19"/>
  <c r="F56" i="19"/>
  <c r="F55" i="19"/>
  <c r="F54" i="19"/>
  <c r="F53" i="19"/>
  <c r="F52" i="19"/>
  <c r="F39" i="19"/>
  <c r="F63" i="19"/>
  <c r="E23" i="19"/>
  <c r="F23" i="19" s="1"/>
  <c r="F16" i="19"/>
  <c r="F51" i="19"/>
  <c r="F29" i="19"/>
  <c r="F28" i="19"/>
  <c r="F15" i="19"/>
  <c r="F77" i="19"/>
  <c r="T50" i="19"/>
  <c r="T93" i="19"/>
  <c r="F65" i="19"/>
  <c r="F64" i="19"/>
  <c r="F44" i="19"/>
  <c r="BB132" i="19"/>
  <c r="AZ114" i="19"/>
  <c r="AD23" i="19"/>
  <c r="AB23" i="19"/>
  <c r="AJ82" i="19"/>
  <c r="V103" i="19"/>
  <c r="T103" i="19"/>
  <c r="CN82" i="19"/>
  <c r="AB43" i="19"/>
  <c r="AB82" i="19"/>
  <c r="D23" i="19"/>
  <c r="CF50" i="19"/>
  <c r="BH50" i="19"/>
  <c r="AZ50" i="19"/>
  <c r="J105" i="19"/>
  <c r="N23" i="19"/>
  <c r="L23" i="19"/>
  <c r="CV75" i="19"/>
  <c r="AJ114" i="19"/>
  <c r="F33" i="19"/>
  <c r="CH103" i="19"/>
  <c r="CF103" i="19"/>
  <c r="BR103" i="19"/>
  <c r="BP103" i="19"/>
  <c r="AD103" i="19"/>
  <c r="AB103" i="19"/>
  <c r="CP132" i="19"/>
  <c r="BP75" i="19"/>
  <c r="AR75" i="19"/>
  <c r="CX103" i="19"/>
  <c r="CV103" i="19"/>
  <c r="F76" i="19"/>
  <c r="F80" i="19"/>
  <c r="AZ27" i="19"/>
  <c r="AR82" i="19"/>
  <c r="AR93" i="19"/>
  <c r="T114" i="19"/>
  <c r="F35" i="19"/>
  <c r="F87" i="19"/>
  <c r="BH27" i="19"/>
  <c r="CV43" i="19"/>
  <c r="AJ93" i="19"/>
  <c r="F78" i="19"/>
  <c r="F18" i="19"/>
  <c r="BR130" i="19" l="1"/>
  <c r="BR128" i="19"/>
  <c r="F103" i="19"/>
  <c r="F105" i="19" s="1"/>
  <c r="F43" i="19"/>
  <c r="F93" i="19"/>
  <c r="F114" i="19"/>
  <c r="F109" i="19"/>
  <c r="D132" i="19"/>
  <c r="F132" i="19" s="1"/>
  <c r="E132" i="19"/>
  <c r="F124" i="19"/>
  <c r="BB130" i="19"/>
  <c r="BB128" i="19"/>
  <c r="BB105" i="19"/>
  <c r="AZ105" i="19"/>
  <c r="CH130" i="19"/>
  <c r="CH105" i="19"/>
  <c r="CH128" i="19"/>
  <c r="CF105" i="19"/>
  <c r="AT105" i="19"/>
  <c r="AT130" i="19"/>
  <c r="AR105" i="19"/>
  <c r="AT128" i="19"/>
  <c r="F75" i="19"/>
  <c r="BJ105" i="19"/>
  <c r="BH105" i="19"/>
  <c r="BJ128" i="19"/>
  <c r="BJ130" i="19"/>
  <c r="F13" i="19"/>
  <c r="J128" i="19"/>
  <c r="J130" i="19"/>
  <c r="N130" i="19" s="1"/>
  <c r="L105" i="19"/>
  <c r="E105" i="19"/>
  <c r="E130" i="19" s="1"/>
  <c r="D105" i="19"/>
  <c r="D130" i="19" s="1"/>
  <c r="F130" i="19" s="1"/>
  <c r="F27" i="19"/>
  <c r="AL130" i="19"/>
  <c r="AL105" i="19"/>
  <c r="AJ105" i="19"/>
  <c r="AL128" i="19"/>
  <c r="CP105" i="19"/>
  <c r="CP128" i="19"/>
  <c r="CN105" i="19"/>
  <c r="CP130" i="19"/>
  <c r="AD105" i="19"/>
  <c r="AD128" i="19"/>
  <c r="AB105" i="19"/>
  <c r="AD130" i="19"/>
  <c r="F82" i="19"/>
  <c r="BZ128" i="19"/>
  <c r="BZ105" i="19"/>
  <c r="BZ130" i="19"/>
  <c r="BX105" i="19"/>
  <c r="F50" i="19"/>
  <c r="CX130" i="19"/>
  <c r="CX105" i="19"/>
  <c r="CV105" i="19"/>
  <c r="CX128" i="19"/>
  <c r="F9" i="19" l="1"/>
  <c r="N105" i="19"/>
  <c r="E128" i="19"/>
  <c r="D128" i="19"/>
  <c r="F128" i="19" s="1"/>
  <c r="H20" i="14"/>
  <c r="H18" i="14"/>
  <c r="N128" i="19" l="1"/>
  <c r="L5" i="14" l="1"/>
  <c r="C18" i="14" l="1"/>
  <c r="F7" i="19" l="1"/>
  <c r="I20" i="14" l="1"/>
  <c r="F20" i="14" l="1"/>
  <c r="E20" i="14"/>
  <c r="D20" i="14"/>
  <c r="C20" i="14"/>
  <c r="I18" i="14"/>
  <c r="L18" i="14" s="1"/>
  <c r="F18" i="14"/>
  <c r="E18" i="14"/>
  <c r="D18" i="14"/>
  <c r="G20" i="14"/>
  <c r="L20" i="14" l="1"/>
  <c r="G18" i="14"/>
  <c r="E25" i="12" l="1"/>
  <c r="F15" i="12"/>
  <c r="E15" i="12"/>
  <c r="J18" i="12" l="1"/>
  <c r="L18" i="12" s="1"/>
  <c r="K6" i="12"/>
  <c r="J24" i="12"/>
  <c r="L24" i="12" s="1"/>
  <c r="H25" i="12" l="1"/>
  <c r="H12" i="12"/>
  <c r="J12" i="12" s="1"/>
  <c r="L12" i="12" s="1"/>
  <c r="H19" i="12"/>
</calcChain>
</file>

<file path=xl/sharedStrings.xml><?xml version="1.0" encoding="utf-8"?>
<sst xmlns="http://schemas.openxmlformats.org/spreadsheetml/2006/main" count="381" uniqueCount="160">
  <si>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</si>
  <si>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</si>
  <si>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</si>
  <si>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</si>
  <si>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</si>
  <si>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</si>
  <si>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</si>
  <si>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</si>
  <si>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</si>
  <si>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</si>
  <si>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</si>
  <si>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</si>
  <si>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Realizado</t>
  </si>
  <si>
    <t>1 - RECEITAS DE VENDAS</t>
  </si>
  <si>
    <t xml:space="preserve">2 - DESPESAS VARIÁVEIS </t>
  </si>
  <si>
    <t>Comissões de Vendas</t>
  </si>
  <si>
    <r>
      <t xml:space="preserve">3 - LUCRO BRUTO / MARGEM DE CONTRIBUIÇÃO </t>
    </r>
    <r>
      <rPr>
        <sz val="12"/>
        <rFont val="Arial"/>
        <family val="2"/>
      </rPr>
      <t>(1 - 2)</t>
    </r>
  </si>
  <si>
    <t>4 - DESPESAS FIXAS</t>
  </si>
  <si>
    <t>4.1 - DESPESAS COM PESSOAL</t>
  </si>
  <si>
    <t>13º Salário</t>
  </si>
  <si>
    <t>Férias</t>
  </si>
  <si>
    <t>Água e Esgoto</t>
  </si>
  <si>
    <t>Energia Elétrica</t>
  </si>
  <si>
    <t>Seguro Predial</t>
  </si>
  <si>
    <t>Despesas c/ Cartórios</t>
  </si>
  <si>
    <t xml:space="preserve">Manutenção, Limpeza e Benfeitoria Predial </t>
  </si>
  <si>
    <t>Manutenção e Acessórios de Informática</t>
  </si>
  <si>
    <t>Monitoramento e Segurança</t>
  </si>
  <si>
    <t>Tarifas Bancárias</t>
  </si>
  <si>
    <t xml:space="preserve">Parcelas de Empréstimos e Financiamentos </t>
  </si>
  <si>
    <t xml:space="preserve">Juros Cheque Especial </t>
  </si>
  <si>
    <r>
      <t xml:space="preserve">6 - RESULTADO OPERACIONAL </t>
    </r>
    <r>
      <rPr>
        <sz val="12"/>
        <rFont val="Arial"/>
        <family val="2"/>
      </rPr>
      <t>(3 - 5)</t>
    </r>
  </si>
  <si>
    <t>Imóveis</t>
  </si>
  <si>
    <t>Móveis e Utensílios</t>
  </si>
  <si>
    <t>Máquinas e Equipamentos</t>
  </si>
  <si>
    <t>Equipamentos de Informática</t>
  </si>
  <si>
    <t>Veículos</t>
  </si>
  <si>
    <t xml:space="preserve">Sistemas, Programas e Softwares </t>
  </si>
  <si>
    <t>Correios</t>
  </si>
  <si>
    <t xml:space="preserve">7 - DESPESAS NÃO OPERACIONAIS </t>
  </si>
  <si>
    <t xml:space="preserve">7.1 - DESPESAS NÃO OPERACIONAIS </t>
  </si>
  <si>
    <t xml:space="preserve">8 - RECEITAS NÃO OPERACIONAIS </t>
  </si>
  <si>
    <t>Outras Receitas Não Operacionais</t>
  </si>
  <si>
    <t xml:space="preserve">2.1 - DESPESAS VARIÁVEIS </t>
  </si>
  <si>
    <t>1.1 - RECEITAS DE VENDAS</t>
  </si>
  <si>
    <t xml:space="preserve">Outras Despesas não Operacionais </t>
  </si>
  <si>
    <t xml:space="preserve">8.1 - RECEITAS NÃO OPERACIONAIS </t>
  </si>
  <si>
    <r>
      <t xml:space="preserve">9 - RESULTADO LÍQUIDO </t>
    </r>
    <r>
      <rPr>
        <sz val="12"/>
        <rFont val="Arial"/>
        <family val="2"/>
      </rPr>
      <t>(6 - 7.1 - 7.2 + 8.1)</t>
    </r>
  </si>
  <si>
    <t xml:space="preserve">Propaganda e Marketing </t>
  </si>
  <si>
    <t>REALIZADO MÉDIA MENSAL     (R$)</t>
  </si>
  <si>
    <t xml:space="preserve">REALIZADO ACUMULADO ANUAL           (R$) </t>
  </si>
  <si>
    <t>REALIZADO ACUMULADO  ANUAL           (%)</t>
  </si>
  <si>
    <t xml:space="preserve">Brindes e Doações </t>
  </si>
  <si>
    <t>Folha - Adicionais</t>
  </si>
  <si>
    <t>CÁLCULO DO PREÇO DE VENDA  x  ANÁLISE PREÇO DE MERCADO</t>
  </si>
  <si>
    <t>PARÂMETROS DA EMPRESA</t>
  </si>
  <si>
    <t>CÁLCULO PREÇO DE VENDA x ANÁLISE PREÇO DE MERCADO</t>
  </si>
  <si>
    <t>CUSTOS VARIÁVEIS</t>
  </si>
  <si>
    <t>IMPOSTOS</t>
  </si>
  <si>
    <t>MARK - UP</t>
  </si>
  <si>
    <t>PIS/COFINS</t>
  </si>
  <si>
    <t>IRPJ/CSLL</t>
  </si>
  <si>
    <t>ICMS</t>
  </si>
  <si>
    <r>
      <t xml:space="preserve">PREÇO DE VENDA </t>
    </r>
    <r>
      <rPr>
        <b/>
        <sz val="8"/>
        <rFont val="Verdana"/>
        <family val="2"/>
      </rPr>
      <t>CALCULADO</t>
    </r>
  </si>
  <si>
    <t>OUTROS</t>
  </si>
  <si>
    <t>COMISSÕES</t>
  </si>
  <si>
    <t>PREÇO CALCULADO - R$</t>
  </si>
  <si>
    <t>LUCRATIVIDADE</t>
  </si>
  <si>
    <t>FRETES</t>
  </si>
  <si>
    <t>VALOR</t>
  </si>
  <si>
    <t>%</t>
  </si>
  <si>
    <t>ROYALTIES</t>
  </si>
  <si>
    <t>CUSTOS VARIÁVEIS TOTAIS</t>
  </si>
  <si>
    <r>
      <t xml:space="preserve">PREÇO DE VENDA </t>
    </r>
    <r>
      <rPr>
        <b/>
        <sz val="8"/>
        <rFont val="Verdana"/>
        <family val="2"/>
      </rPr>
      <t>DO CONCORRENTE</t>
    </r>
  </si>
  <si>
    <t>PREÇO CONCORRENTE</t>
  </si>
  <si>
    <t>CUSTOS FIXOS</t>
  </si>
  <si>
    <r>
      <t xml:space="preserve">PREÇO DE VENDA </t>
    </r>
    <r>
      <rPr>
        <b/>
        <sz val="8"/>
        <rFont val="Verdana"/>
        <family val="2"/>
      </rPr>
      <t>NEGOCIADO</t>
    </r>
  </si>
  <si>
    <t>PREÇO NEGOCIADO</t>
  </si>
  <si>
    <t>CÁLCULO DOS CUSTOS</t>
  </si>
  <si>
    <t>Custo da Mercadoria</t>
  </si>
  <si>
    <t>Outros</t>
  </si>
  <si>
    <t>TOTAL</t>
  </si>
  <si>
    <t>Pró-Labore</t>
  </si>
  <si>
    <t>SIMPLES</t>
  </si>
  <si>
    <t>Previsto</t>
  </si>
  <si>
    <t>AV</t>
  </si>
  <si>
    <t>% META</t>
  </si>
  <si>
    <r>
      <t xml:space="preserve">10 - PONTO DE EQUILÍBRIO OPERACIONAL  </t>
    </r>
    <r>
      <rPr>
        <sz val="12"/>
        <rFont val="Arial"/>
        <family val="2"/>
      </rPr>
      <t>((5 / 3)*1)</t>
    </r>
  </si>
  <si>
    <t>VENDAS</t>
  </si>
  <si>
    <t>Folha - Salários + Vale Transp. + Sindicato + Guia Gps</t>
  </si>
  <si>
    <t>Juros de Boletos</t>
  </si>
  <si>
    <t xml:space="preserve">Tarifas de Emissão de Boletos </t>
  </si>
  <si>
    <t>Primeiros Socorros</t>
  </si>
  <si>
    <t>Aluguel</t>
  </si>
  <si>
    <t>Juros de Empréstimos</t>
  </si>
  <si>
    <t xml:space="preserve">Plano de Saúde </t>
  </si>
  <si>
    <t>4.2 - DESPESA COMERCIAL</t>
  </si>
  <si>
    <t>Combustível e Lubrificante</t>
  </si>
  <si>
    <t xml:space="preserve">IPVA / DPVAT / Licenciamento / Multas </t>
  </si>
  <si>
    <t xml:space="preserve">Seguros de Veículos </t>
  </si>
  <si>
    <t>Manutenção de Máquinas e Equipamentos</t>
  </si>
  <si>
    <t>Manutenção de Móveis e Utensílios</t>
  </si>
  <si>
    <t xml:space="preserve">Assessoria em Contabilidade  </t>
  </si>
  <si>
    <t>Alimentação / Cozinha (Café, Lanche, Almoço)</t>
  </si>
  <si>
    <t xml:space="preserve">Fretes e Despesas de Transporte - Compras </t>
  </si>
  <si>
    <t>Fretes e Despesas de Transporte - Vendas</t>
  </si>
  <si>
    <t>Viagens, Estadias, Pedágios, Estacionamentos (Comercial)</t>
  </si>
  <si>
    <t>Assessoria Jurídica</t>
  </si>
  <si>
    <t xml:space="preserve">Manutenção de Veículos / Serviços e Peças </t>
  </si>
  <si>
    <t>Outros Custos de Vendas (Descontos, Rebate, Etc.)</t>
  </si>
  <si>
    <t>Embalagens e Afins</t>
  </si>
  <si>
    <t>4.3 - DESPESA ADMINISTRATIVA E OPERACIONAL</t>
  </si>
  <si>
    <t>Guia GPS - Pró-Labore</t>
  </si>
  <si>
    <t>Guia FGTS</t>
  </si>
  <si>
    <t>Locações - Máquinas e Equipamentos Diversos</t>
  </si>
  <si>
    <t>Assessoria em Licenças CETESB / Bombeiro / Outros</t>
  </si>
  <si>
    <t xml:space="preserve">EPI / Uniformes / Acessórios </t>
  </si>
  <si>
    <t xml:space="preserve">Internet </t>
  </si>
  <si>
    <t>Telefonia (móvel e fixa)</t>
  </si>
  <si>
    <t xml:space="preserve">Rescisões Contratuais </t>
  </si>
  <si>
    <t xml:space="preserve">Materiais de Limpeza, Escritório e Higiene </t>
  </si>
  <si>
    <t xml:space="preserve">Associações e Entidades de Classe </t>
  </si>
  <si>
    <t>Impostos, Taxas e Contribuições (IPTU, ISS, Alvará, Outros)</t>
  </si>
  <si>
    <t>Custo do Produto Vendido (CPV / MP)</t>
  </si>
  <si>
    <t xml:space="preserve">Cesta Básica </t>
  </si>
  <si>
    <t xml:space="preserve">Folha - Prêmios </t>
  </si>
  <si>
    <t>4.4 - DESPESA COM VEÍCULOS</t>
  </si>
  <si>
    <t>4.5 - SERVIÇOS PRESTADOS POR TERCEIROS</t>
  </si>
  <si>
    <r>
      <t xml:space="preserve">5 - TOTAL DESPESAS FIXA </t>
    </r>
    <r>
      <rPr>
        <sz val="12"/>
        <color rgb="FFFF0000"/>
        <rFont val="Arial"/>
        <family val="2"/>
      </rPr>
      <t>(4.1 + 4.2 + 4.3 + 4.4 + 4.5 +4.6)</t>
    </r>
  </si>
  <si>
    <t xml:space="preserve">Seguro de Vida </t>
  </si>
  <si>
    <t>Custo de Protótipos e Novos Projetos</t>
  </si>
  <si>
    <t>Impostos ICMS - DIFAL</t>
  </si>
  <si>
    <t>TOTAIS</t>
  </si>
  <si>
    <t>MÉDIA ANUAL</t>
  </si>
  <si>
    <t>MÉDIA MÊS</t>
  </si>
  <si>
    <t xml:space="preserve">7.2 - DESPESAS COM  INVESTIMENTOS E ATIVO IMOBILIZADO </t>
  </si>
  <si>
    <r>
      <t xml:space="preserve">10.1 - PONTO DE EQUILÍBRIO FINANCEIRO </t>
    </r>
    <r>
      <rPr>
        <sz val="12"/>
        <rFont val="Arial"/>
        <family val="2"/>
      </rPr>
      <t>((5+7.1+7.2)/3)*1.1)</t>
    </r>
  </si>
  <si>
    <t>Tarifa Desconto de Cheques/Boletos</t>
  </si>
  <si>
    <t xml:space="preserve">4.6 - DESPESA FINANCEIRA </t>
  </si>
  <si>
    <t>Introdução, despesas com novos clientes</t>
  </si>
  <si>
    <t>Pedágios / Sem Parar / Estacionamentos</t>
  </si>
  <si>
    <t>Faturamento (Vendas do Mês)</t>
  </si>
  <si>
    <t>Receitas de Vendas (Recebimentos no mês)</t>
  </si>
  <si>
    <t xml:space="preserve">Impostos sobre Vendas (Simples Nacional) </t>
  </si>
  <si>
    <t xml:space="preserve">Prejuízo Operacional / Perdas de Produção / Retrabalho </t>
  </si>
  <si>
    <t xml:space="preserve">Consultoria Empresarial </t>
  </si>
  <si>
    <t>Assessoria de Segurança do Trabalho</t>
  </si>
  <si>
    <t xml:space="preserve">Assessoria Médica e Hospitalar </t>
  </si>
  <si>
    <t xml:space="preserve">Tarifas de Operadora de Cartão </t>
  </si>
  <si>
    <t xml:space="preserve">Aplicação Financeira / Reservas da Empresa </t>
  </si>
  <si>
    <t>Distribuição de Lucros - Sócio 1</t>
  </si>
  <si>
    <r>
      <t xml:space="preserve">DRE - </t>
    </r>
    <r>
      <rPr>
        <b/>
        <sz val="36"/>
        <color theme="3"/>
        <rFont val="Arial"/>
        <family val="2"/>
      </rPr>
      <t>2023</t>
    </r>
  </si>
  <si>
    <t/>
  </si>
  <si>
    <t xml:space="preserve">Impostos sobre Vendas </t>
  </si>
  <si>
    <r>
      <t xml:space="preserve">DRE - </t>
    </r>
    <r>
      <rPr>
        <b/>
        <sz val="36"/>
        <color theme="3"/>
        <rFont val="Arial"/>
        <family val="2"/>
      </rPr>
      <t>2025</t>
    </r>
  </si>
  <si>
    <t xml:space="preserve">Comissões de Vendas </t>
  </si>
  <si>
    <t xml:space="preserve">Comissões - Adicionais / Premiações </t>
  </si>
  <si>
    <t xml:space="preserve">Premiações </t>
  </si>
  <si>
    <t>Custo do Serviço Prestado (CSP)</t>
  </si>
  <si>
    <t>Distribuição de Lucros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</si>
</sst>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#,##0.00_ ;[Red]\-#,##0.00\ "/>
    <numFmt numFmtId="165" formatCode="0.00%;[Red]\-0.00%"/>
    <numFmt numFmtId="166" formatCode="#,##0.00\ ;&quot; (&quot;#,##0.00\);&quot; -&quot;#\ ;@\ "/>
    <numFmt numFmtId="167" formatCode="_(&quot;R$ &quot;* #,##0.00_);_(&quot;R$ &quot;* \(#,##0.00\);_(&quot;R$ &quot;* &quot;-&quot;??_);_(@_)"/>
    <numFmt numFmtId="168" formatCode="0.0000"/>
    <numFmt numFmtId="169" formatCode="_(&quot;R$&quot;* #,##0.00_);_(&quot;R$&quot;* \(#,##0.00\);_(&quot;R$&quot;* &quot;-&quot;??_);_(@_)"/>
    <numFmt numFmtId="170" formatCode="_ &quot;R$&quot;* #,##0.00_ ;_ &quot;R$&quot;* \-#,##0.00_ ;_ &quot;R$&quot;* &quot;-&quot;??_ ;_ @_ "/>
    <numFmt numFmtId="171" formatCode="_ * #,##0_ ;_ * \-#,##0_ ;_ * &quot;-&quot;_ ;_ @_ "/>
    <numFmt numFmtId="172" formatCode="0.0000%"/>
    <numFmt numFmtId="173" formatCode="0.000000%;[Red]\-0.000000%"/>
    <numFmt numFmtId="174" formatCode="0.000000%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3" tint="0.3999755851924192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name val="Calibri"/>
      <family val="2"/>
      <scheme val="minor"/>
    </font>
    <font>
      <b/>
      <sz val="14"/>
      <color theme="3" tint="0.3999755851924192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name val="Calibri"/>
      <family val="2"/>
      <scheme val="minor"/>
    </font>
    <font>
      <sz val="12"/>
      <name val="Arial"/>
      <family val="2"/>
    </font>
    <font>
      <b/>
      <sz val="11"/>
      <name val="Arial"/>
      <family val="2"/>
    </font>
    <font>
      <b/>
      <sz val="12"/>
      <color theme="3"/>
      <name val="Arial"/>
      <family val="2"/>
    </font>
    <font>
      <sz val="12"/>
      <color rgb="FFFF0000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12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11"/>
      <name val="Verdana"/>
      <family val="2"/>
    </font>
    <font>
      <b/>
      <sz val="8"/>
      <name val="Verdana"/>
      <family val="2"/>
    </font>
    <font>
      <b/>
      <sz val="8"/>
      <color indexed="10"/>
      <name val="Verdana"/>
      <family val="2"/>
    </font>
    <font>
      <sz val="9"/>
      <name val="Verdana"/>
      <family val="2"/>
    </font>
    <font>
      <sz val="10"/>
      <name val="MS Sans Serif"/>
      <family val="2"/>
    </font>
    <font>
      <sz val="10"/>
      <name val="Verdana"/>
      <family val="2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gray06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9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32" fillId="0" borderId="0"/>
    <xf numFmtId="9" fontId="32" fillId="0" borderId="0" applyFont="0" applyFill="0" applyBorder="0" applyAlignment="0" applyProtection="0"/>
    <xf numFmtId="167" fontId="32" fillId="0" borderId="0" applyFont="0" applyFill="0" applyBorder="0" applyAlignment="0" applyProtection="0"/>
    <xf numFmtId="169" fontId="33" fillId="0" borderId="0" applyFont="0" applyFill="0" applyBorder="0" applyAlignment="0" applyProtection="0"/>
    <xf numFmtId="170" fontId="33" fillId="0" borderId="0" applyFont="0" applyFill="0" applyBorder="0" applyAlignment="0" applyProtection="0"/>
    <xf numFmtId="171" fontId="33" fillId="0" borderId="0" applyFont="0" applyFill="0" applyBorder="0" applyAlignment="0" applyProtection="0"/>
  </cellStyleXfs>
  <cellXfs count="293">
    <xf numFmtId="0" fontId="0" fillId="0" borderId="0" xfId="0"/>
    <xf numFmtId="164" fontId="3" fillId="0" borderId="0" xfId="0" applyNumberFormat="1" applyFont="1" applyProtection="1">
      <protection hidden="1"/>
    </xf>
    <xf numFmtId="165" fontId="3" fillId="0" borderId="0" xfId="0" applyNumberFormat="1" applyFont="1" applyAlignment="1" applyProtection="1">
      <alignment horizontal="center"/>
      <protection hidden="1"/>
    </xf>
    <xf numFmtId="164" fontId="3" fillId="0" borderId="0" xfId="0" applyNumberFormat="1" applyFont="1"/>
    <xf numFmtId="0" fontId="3" fillId="0" borderId="0" xfId="0" applyFont="1"/>
    <xf numFmtId="0" fontId="7" fillId="4" borderId="0" xfId="0" quotePrefix="1" applyFont="1" applyFill="1" applyProtection="1">
      <protection hidden="1"/>
    </xf>
    <xf numFmtId="164" fontId="5" fillId="0" borderId="0" xfId="0" applyNumberFormat="1" applyFont="1" applyProtection="1">
      <protection hidden="1"/>
    </xf>
    <xf numFmtId="165" fontId="5" fillId="0" borderId="0" xfId="0" applyNumberFormat="1" applyFont="1" applyAlignment="1" applyProtection="1">
      <alignment horizontal="center"/>
      <protection hidden="1"/>
    </xf>
    <xf numFmtId="0" fontId="5" fillId="0" borderId="0" xfId="0" applyFont="1" applyProtection="1">
      <protection hidden="1"/>
    </xf>
    <xf numFmtId="4" fontId="8" fillId="0" borderId="0" xfId="0" applyNumberFormat="1" applyFont="1" applyProtection="1">
      <protection hidden="1"/>
    </xf>
    <xf numFmtId="164" fontId="9" fillId="0" borderId="0" xfId="0" applyNumberFormat="1" applyFont="1" applyProtection="1">
      <protection hidden="1"/>
    </xf>
    <xf numFmtId="164" fontId="8" fillId="0" borderId="0" xfId="0" applyNumberFormat="1" applyFont="1" applyProtection="1">
      <protection hidden="1"/>
    </xf>
    <xf numFmtId="0" fontId="7" fillId="2" borderId="5" xfId="0" applyFont="1" applyFill="1" applyBorder="1" applyProtection="1">
      <protection hidden="1"/>
    </xf>
    <xf numFmtId="0" fontId="7" fillId="2" borderId="6" xfId="0" applyFont="1" applyFill="1" applyBorder="1" applyProtection="1">
      <protection hidden="1"/>
    </xf>
    <xf numFmtId="0" fontId="10" fillId="4" borderId="0" xfId="0" applyFont="1" applyFill="1"/>
    <xf numFmtId="0" fontId="11" fillId="4" borderId="0" xfId="0" applyFont="1" applyFill="1" applyProtection="1">
      <protection hidden="1"/>
    </xf>
    <xf numFmtId="164" fontId="12" fillId="4" borderId="0" xfId="0" applyNumberFormat="1" applyFont="1" applyFill="1" applyProtection="1">
      <protection hidden="1"/>
    </xf>
    <xf numFmtId="165" fontId="12" fillId="4" borderId="0" xfId="0" applyNumberFormat="1" applyFont="1" applyFill="1" applyAlignment="1" applyProtection="1">
      <alignment horizontal="center"/>
      <protection hidden="1"/>
    </xf>
    <xf numFmtId="164" fontId="13" fillId="4" borderId="0" xfId="0" applyNumberFormat="1" applyFont="1" applyFill="1" applyProtection="1">
      <protection hidden="1"/>
    </xf>
    <xf numFmtId="4" fontId="13" fillId="4" borderId="0" xfId="0" applyNumberFormat="1" applyFont="1" applyFill="1" applyProtection="1">
      <protection hidden="1"/>
    </xf>
    <xf numFmtId="0" fontId="12" fillId="4" borderId="11" xfId="0" applyFont="1" applyFill="1" applyBorder="1" applyProtection="1">
      <protection hidden="1"/>
    </xf>
    <xf numFmtId="0" fontId="12" fillId="4" borderId="13" xfId="0" applyFont="1" applyFill="1" applyBorder="1" applyProtection="1">
      <protection hidden="1"/>
    </xf>
    <xf numFmtId="0" fontId="12" fillId="4" borderId="15" xfId="0" applyFont="1" applyFill="1" applyBorder="1" applyProtection="1">
      <protection hidden="1"/>
    </xf>
    <xf numFmtId="0" fontId="14" fillId="2" borderId="5" xfId="0" applyFont="1" applyFill="1" applyBorder="1" applyProtection="1">
      <protection hidden="1"/>
    </xf>
    <xf numFmtId="0" fontId="12" fillId="4" borderId="0" xfId="0" applyFont="1" applyFill="1" applyProtection="1">
      <protection hidden="1"/>
    </xf>
    <xf numFmtId="0" fontId="15" fillId="4" borderId="0" xfId="0" applyFont="1" applyFill="1" applyProtection="1">
      <protection hidden="1"/>
    </xf>
    <xf numFmtId="164" fontId="12" fillId="4" borderId="10" xfId="0" applyNumberFormat="1" applyFont="1" applyFill="1" applyBorder="1" applyProtection="1">
      <protection locked="0" hidden="1"/>
    </xf>
    <xf numFmtId="164" fontId="12" fillId="4" borderId="12" xfId="0" applyNumberFormat="1" applyFont="1" applyFill="1" applyBorder="1" applyProtection="1">
      <protection locked="0" hidden="1"/>
    </xf>
    <xf numFmtId="165" fontId="10" fillId="4" borderId="12" xfId="2" applyNumberFormat="1" applyFont="1" applyFill="1" applyBorder="1"/>
    <xf numFmtId="164" fontId="12" fillId="2" borderId="18" xfId="0" applyNumberFormat="1" applyFont="1" applyFill="1" applyBorder="1" applyProtection="1">
      <protection hidden="1"/>
    </xf>
    <xf numFmtId="165" fontId="16" fillId="2" borderId="18" xfId="2" applyNumberFormat="1" applyFont="1" applyFill="1" applyBorder="1"/>
    <xf numFmtId="165" fontId="10" fillId="4" borderId="0" xfId="0" applyNumberFormat="1" applyFont="1" applyFill="1"/>
    <xf numFmtId="165" fontId="14" fillId="2" borderId="5" xfId="0" applyNumberFormat="1" applyFont="1" applyFill="1" applyBorder="1" applyProtection="1">
      <protection hidden="1"/>
    </xf>
    <xf numFmtId="164" fontId="18" fillId="4" borderId="0" xfId="0" applyNumberFormat="1" applyFont="1" applyFill="1" applyProtection="1">
      <protection hidden="1"/>
    </xf>
    <xf numFmtId="0" fontId="2" fillId="0" borderId="0" xfId="0" applyFont="1"/>
    <xf numFmtId="164" fontId="12" fillId="4" borderId="12" xfId="1" applyNumberFormat="1" applyFont="1" applyFill="1" applyBorder="1" applyProtection="1">
      <protection locked="0" hidden="1"/>
    </xf>
    <xf numFmtId="164" fontId="16" fillId="4" borderId="0" xfId="0" applyNumberFormat="1" applyFont="1" applyFill="1" applyProtection="1">
      <protection hidden="1"/>
    </xf>
    <xf numFmtId="164" fontId="12" fillId="2" borderId="19" xfId="1" applyNumberFormat="1" applyFont="1" applyFill="1" applyBorder="1" applyProtection="1">
      <protection hidden="1"/>
    </xf>
    <xf numFmtId="164" fontId="12" fillId="2" borderId="18" xfId="1" applyNumberFormat="1" applyFont="1" applyFill="1" applyBorder="1" applyProtection="1">
      <protection hidden="1"/>
    </xf>
    <xf numFmtId="0" fontId="10" fillId="4" borderId="0" xfId="0" applyFont="1" applyFill="1" applyProtection="1">
      <protection hidden="1"/>
    </xf>
    <xf numFmtId="165" fontId="16" fillId="4" borderId="0" xfId="0" applyNumberFormat="1" applyFont="1" applyFill="1" applyAlignment="1" applyProtection="1">
      <alignment horizontal="center"/>
      <protection hidden="1"/>
    </xf>
    <xf numFmtId="164" fontId="16" fillId="4" borderId="0" xfId="0" applyNumberFormat="1" applyFont="1" applyFill="1"/>
    <xf numFmtId="164" fontId="12" fillId="2" borderId="4" xfId="0" applyNumberFormat="1" applyFont="1" applyFill="1" applyBorder="1" applyProtection="1">
      <protection hidden="1"/>
    </xf>
    <xf numFmtId="0" fontId="16" fillId="4" borderId="0" xfId="0" applyFont="1" applyFill="1"/>
    <xf numFmtId="165" fontId="16" fillId="4" borderId="18" xfId="0" applyNumberFormat="1" applyFont="1" applyFill="1" applyBorder="1"/>
    <xf numFmtId="43" fontId="16" fillId="4" borderId="0" xfId="1" applyFont="1" applyFill="1" applyAlignment="1" applyProtection="1">
      <alignment horizontal="center"/>
      <protection hidden="1"/>
    </xf>
    <xf numFmtId="0" fontId="10" fillId="4" borderId="10" xfId="0" applyFont="1" applyFill="1" applyBorder="1"/>
    <xf numFmtId="0" fontId="10" fillId="4" borderId="12" xfId="0" applyFont="1" applyFill="1" applyBorder="1"/>
    <xf numFmtId="0" fontId="10" fillId="4" borderId="14" xfId="0" applyFont="1" applyFill="1" applyBorder="1"/>
    <xf numFmtId="0" fontId="10" fillId="4" borderId="17" xfId="0" applyFont="1" applyFill="1" applyBorder="1"/>
    <xf numFmtId="0" fontId="10" fillId="4" borderId="10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14" xfId="0" applyFont="1" applyFill="1" applyBorder="1" applyAlignment="1">
      <alignment horizontal="center"/>
    </xf>
    <xf numFmtId="165" fontId="10" fillId="2" borderId="18" xfId="2" applyNumberFormat="1" applyFont="1" applyFill="1" applyBorder="1"/>
    <xf numFmtId="165" fontId="12" fillId="2" borderId="6" xfId="2" applyNumberFormat="1" applyFont="1" applyFill="1" applyBorder="1" applyAlignment="1" applyProtection="1">
      <alignment horizontal="center"/>
      <protection hidden="1"/>
    </xf>
    <xf numFmtId="164" fontId="12" fillId="4" borderId="17" xfId="0" applyNumberFormat="1" applyFont="1" applyFill="1" applyBorder="1" applyProtection="1">
      <protection hidden="1"/>
    </xf>
    <xf numFmtId="164" fontId="12" fillId="4" borderId="14" xfId="0" applyNumberFormat="1" applyFont="1" applyFill="1" applyBorder="1" applyProtection="1">
      <protection hidden="1"/>
    </xf>
    <xf numFmtId="164" fontId="12" fillId="6" borderId="19" xfId="1" applyNumberFormat="1" applyFont="1" applyFill="1" applyBorder="1" applyProtection="1">
      <protection hidden="1"/>
    </xf>
    <xf numFmtId="165" fontId="12" fillId="6" borderId="18" xfId="2" applyNumberFormat="1" applyFont="1" applyFill="1" applyBorder="1" applyAlignment="1" applyProtection="1">
      <alignment horizontal="center"/>
      <protection hidden="1"/>
    </xf>
    <xf numFmtId="164" fontId="12" fillId="6" borderId="19" xfId="2" applyNumberFormat="1" applyFont="1" applyFill="1" applyBorder="1" applyProtection="1">
      <protection hidden="1"/>
    </xf>
    <xf numFmtId="164" fontId="12" fillId="6" borderId="18" xfId="0" applyNumberFormat="1" applyFont="1" applyFill="1" applyBorder="1" applyProtection="1">
      <protection hidden="1"/>
    </xf>
    <xf numFmtId="165" fontId="16" fillId="6" borderId="18" xfId="2" applyNumberFormat="1" applyFont="1" applyFill="1" applyBorder="1"/>
    <xf numFmtId="0" fontId="12" fillId="4" borderId="21" xfId="0" applyFont="1" applyFill="1" applyBorder="1" applyProtection="1">
      <protection hidden="1"/>
    </xf>
    <xf numFmtId="164" fontId="12" fillId="4" borderId="3" xfId="1" applyNumberFormat="1" applyFont="1" applyFill="1" applyBorder="1" applyProtection="1">
      <protection locked="0" hidden="1"/>
    </xf>
    <xf numFmtId="164" fontId="12" fillId="4" borderId="14" xfId="1" applyNumberFormat="1" applyFont="1" applyFill="1" applyBorder="1" applyProtection="1">
      <protection locked="0" hidden="1"/>
    </xf>
    <xf numFmtId="165" fontId="10" fillId="4" borderId="14" xfId="2" applyNumberFormat="1" applyFont="1" applyFill="1" applyBorder="1"/>
    <xf numFmtId="0" fontId="10" fillId="4" borderId="3" xfId="0" applyFont="1" applyFill="1" applyBorder="1" applyAlignment="1">
      <alignment horizontal="center"/>
    </xf>
    <xf numFmtId="0" fontId="12" fillId="4" borderId="22" xfId="0" applyFont="1" applyFill="1" applyBorder="1" applyProtection="1">
      <protection hidden="1"/>
    </xf>
    <xf numFmtId="0" fontId="12" fillId="4" borderId="23" xfId="0" applyFont="1" applyFill="1" applyBorder="1" applyProtection="1">
      <protection hidden="1"/>
    </xf>
    <xf numFmtId="164" fontId="12" fillId="4" borderId="14" xfId="0" applyNumberFormat="1" applyFont="1" applyFill="1" applyBorder="1" applyProtection="1">
      <protection locked="0" hidden="1"/>
    </xf>
    <xf numFmtId="164" fontId="12" fillId="4" borderId="24" xfId="0" applyNumberFormat="1" applyFont="1" applyFill="1" applyBorder="1" applyProtection="1">
      <protection hidden="1"/>
    </xf>
    <xf numFmtId="164" fontId="12" fillId="4" borderId="25" xfId="0" applyNumberFormat="1" applyFont="1" applyFill="1" applyBorder="1" applyProtection="1">
      <protection hidden="1"/>
    </xf>
    <xf numFmtId="165" fontId="12" fillId="4" borderId="11" xfId="2" applyNumberFormat="1" applyFont="1" applyFill="1" applyBorder="1" applyAlignment="1" applyProtection="1">
      <alignment horizontal="center"/>
      <protection hidden="1"/>
    </xf>
    <xf numFmtId="165" fontId="12" fillId="4" borderId="13" xfId="2" applyNumberFormat="1" applyFont="1" applyFill="1" applyBorder="1" applyAlignment="1" applyProtection="1">
      <alignment horizontal="center"/>
      <protection hidden="1"/>
    </xf>
    <xf numFmtId="165" fontId="12" fillId="4" borderId="21" xfId="2" applyNumberFormat="1" applyFont="1" applyFill="1" applyBorder="1" applyAlignment="1" applyProtection="1">
      <alignment horizontal="center"/>
      <protection hidden="1"/>
    </xf>
    <xf numFmtId="165" fontId="12" fillId="2" borderId="6" xfId="1" applyNumberFormat="1" applyFont="1" applyFill="1" applyBorder="1" applyAlignment="1" applyProtection="1">
      <alignment horizontal="center"/>
      <protection hidden="1"/>
    </xf>
    <xf numFmtId="165" fontId="12" fillId="2" borderId="6" xfId="0" applyNumberFormat="1" applyFont="1" applyFill="1" applyBorder="1" applyAlignment="1" applyProtection="1">
      <alignment horizontal="center"/>
      <protection hidden="1"/>
    </xf>
    <xf numFmtId="165" fontId="12" fillId="6" borderId="6" xfId="2" applyNumberFormat="1" applyFont="1" applyFill="1" applyBorder="1" applyAlignment="1" applyProtection="1">
      <alignment horizontal="center"/>
      <protection hidden="1"/>
    </xf>
    <xf numFmtId="164" fontId="12" fillId="4" borderId="28" xfId="0" applyNumberFormat="1" applyFont="1" applyFill="1" applyBorder="1" applyProtection="1">
      <protection hidden="1"/>
    </xf>
    <xf numFmtId="165" fontId="12" fillId="4" borderId="27" xfId="2" applyNumberFormat="1" applyFont="1" applyFill="1" applyBorder="1" applyAlignment="1" applyProtection="1">
      <alignment horizontal="center"/>
      <protection hidden="1"/>
    </xf>
    <xf numFmtId="165" fontId="12" fillId="4" borderId="29" xfId="2" applyNumberFormat="1" applyFont="1" applyFill="1" applyBorder="1" applyAlignment="1" applyProtection="1">
      <alignment horizontal="center"/>
      <protection hidden="1"/>
    </xf>
    <xf numFmtId="165" fontId="12" fillId="4" borderId="30" xfId="2" applyNumberFormat="1" applyFont="1" applyFill="1" applyBorder="1" applyAlignment="1" applyProtection="1">
      <alignment horizontal="center"/>
      <protection hidden="1"/>
    </xf>
    <xf numFmtId="164" fontId="12" fillId="4" borderId="18" xfId="0" applyNumberFormat="1" applyFont="1" applyFill="1" applyBorder="1" applyProtection="1">
      <protection hidden="1"/>
    </xf>
    <xf numFmtId="0" fontId="23" fillId="0" borderId="0" xfId="10" applyFont="1"/>
    <xf numFmtId="10" fontId="23" fillId="8" borderId="31" xfId="11" applyNumberFormat="1" applyFont="1" applyFill="1" applyBorder="1" applyProtection="1">
      <protection locked="0"/>
    </xf>
    <xf numFmtId="10" fontId="23" fillId="8" borderId="46" xfId="11" applyNumberFormat="1" applyFont="1" applyFill="1" applyBorder="1" applyProtection="1">
      <protection locked="0"/>
    </xf>
    <xf numFmtId="164" fontId="5" fillId="7" borderId="18" xfId="0" applyNumberFormat="1" applyFont="1" applyFill="1" applyBorder="1" applyAlignment="1" applyProtection="1">
      <alignment horizontal="center" vertical="center" wrapText="1"/>
      <protection hidden="1"/>
    </xf>
    <xf numFmtId="0" fontId="34" fillId="0" borderId="0" xfId="0" applyFont="1"/>
    <xf numFmtId="164" fontId="5" fillId="3" borderId="18" xfId="0" applyNumberFormat="1" applyFont="1" applyFill="1" applyBorder="1" applyAlignment="1" applyProtection="1">
      <alignment horizontal="center" vertical="center" wrapText="1"/>
      <protection hidden="1"/>
    </xf>
    <xf numFmtId="165" fontId="16" fillId="2" borderId="18" xfId="2" applyNumberFormat="1" applyFont="1" applyFill="1" applyBorder="1" applyAlignment="1">
      <alignment horizontal="center"/>
    </xf>
    <xf numFmtId="165" fontId="10" fillId="4" borderId="26" xfId="2" applyNumberFormat="1" applyFont="1" applyFill="1" applyBorder="1"/>
    <xf numFmtId="164" fontId="12" fillId="0" borderId="17" xfId="0" applyNumberFormat="1" applyFont="1" applyBorder="1" applyProtection="1">
      <protection hidden="1"/>
    </xf>
    <xf numFmtId="0" fontId="35" fillId="4" borderId="0" xfId="0" applyFont="1" applyFill="1"/>
    <xf numFmtId="165" fontId="36" fillId="6" borderId="18" xfId="2" applyNumberFormat="1" applyFont="1" applyFill="1" applyBorder="1"/>
    <xf numFmtId="165" fontId="16" fillId="7" borderId="18" xfId="2" applyNumberFormat="1" applyFont="1" applyFill="1" applyBorder="1"/>
    <xf numFmtId="164" fontId="12" fillId="0" borderId="10" xfId="0" applyNumberFormat="1" applyFont="1" applyBorder="1" applyProtection="1">
      <protection locked="0" hidden="1"/>
    </xf>
    <xf numFmtId="164" fontId="12" fillId="0" borderId="12" xfId="0" applyNumberFormat="1" applyFont="1" applyBorder="1" applyProtection="1">
      <protection locked="0" hidden="1"/>
    </xf>
    <xf numFmtId="165" fontId="10" fillId="4" borderId="9" xfId="2" applyNumberFormat="1" applyFont="1" applyFill="1" applyBorder="1"/>
    <xf numFmtId="0" fontId="10" fillId="4" borderId="26" xfId="0" applyFont="1" applyFill="1" applyBorder="1" applyAlignment="1">
      <alignment horizontal="center"/>
    </xf>
    <xf numFmtId="164" fontId="12" fillId="0" borderId="12" xfId="1" applyNumberFormat="1" applyFont="1" applyFill="1" applyBorder="1" applyProtection="1">
      <protection locked="0" hidden="1"/>
    </xf>
    <xf numFmtId="165" fontId="12" fillId="12" borderId="18" xfId="2" applyNumberFormat="1" applyFont="1" applyFill="1" applyBorder="1" applyAlignment="1" applyProtection="1">
      <alignment horizontal="center"/>
      <protection hidden="1"/>
    </xf>
    <xf numFmtId="165" fontId="16" fillId="12" borderId="18" xfId="2" applyNumberFormat="1" applyFont="1" applyFill="1" applyBorder="1"/>
    <xf numFmtId="165" fontId="10" fillId="7" borderId="18" xfId="2" applyNumberFormat="1" applyFont="1" applyFill="1" applyBorder="1"/>
    <xf numFmtId="0" fontId="14" fillId="2" borderId="4" xfId="0" applyFont="1" applyFill="1" applyBorder="1" applyProtection="1">
      <protection hidden="1"/>
    </xf>
    <xf numFmtId="164" fontId="12" fillId="2" borderId="18" xfId="2" applyNumberFormat="1" applyFont="1" applyFill="1" applyBorder="1" applyProtection="1">
      <protection hidden="1"/>
    </xf>
    <xf numFmtId="0" fontId="19" fillId="7" borderId="4" xfId="0" applyFont="1" applyFill="1" applyBorder="1" applyProtection="1">
      <protection hidden="1"/>
    </xf>
    <xf numFmtId="0" fontId="19" fillId="7" borderId="5" xfId="0" applyFont="1" applyFill="1" applyBorder="1" applyProtection="1">
      <protection hidden="1"/>
    </xf>
    <xf numFmtId="164" fontId="12" fillId="12" borderId="18" xfId="0" applyNumberFormat="1" applyFont="1" applyFill="1" applyBorder="1" applyProtection="1">
      <protection hidden="1"/>
    </xf>
    <xf numFmtId="165" fontId="12" fillId="12" borderId="18" xfId="0" applyNumberFormat="1" applyFont="1" applyFill="1" applyBorder="1" applyAlignment="1" applyProtection="1">
      <alignment horizontal="center"/>
      <protection hidden="1"/>
    </xf>
    <xf numFmtId="164" fontId="12" fillId="4" borderId="55" xfId="0" applyNumberFormat="1" applyFont="1" applyFill="1" applyBorder="1" applyProtection="1">
      <protection hidden="1"/>
    </xf>
    <xf numFmtId="0" fontId="12" fillId="4" borderId="27" xfId="0" applyFont="1" applyFill="1" applyBorder="1" applyProtection="1">
      <protection hidden="1"/>
    </xf>
    <xf numFmtId="0" fontId="16" fillId="4" borderId="56" xfId="0" applyFont="1" applyFill="1" applyBorder="1" applyAlignment="1">
      <alignment horizontal="center"/>
    </xf>
    <xf numFmtId="0" fontId="0" fillId="4" borderId="0" xfId="0" applyFill="1"/>
    <xf numFmtId="0" fontId="16" fillId="4" borderId="49" xfId="0" applyFont="1" applyFill="1" applyBorder="1" applyAlignment="1">
      <alignment horizontal="center"/>
    </xf>
    <xf numFmtId="0" fontId="12" fillId="4" borderId="30" xfId="0" applyFont="1" applyFill="1" applyBorder="1" applyProtection="1">
      <protection hidden="1"/>
    </xf>
    <xf numFmtId="164" fontId="12" fillId="4" borderId="7" xfId="0" applyNumberFormat="1" applyFont="1" applyFill="1" applyBorder="1" applyProtection="1">
      <protection hidden="1"/>
    </xf>
    <xf numFmtId="0" fontId="10" fillId="4" borderId="0" xfId="0" applyFont="1" applyFill="1" applyAlignment="1">
      <alignment horizontal="center"/>
    </xf>
    <xf numFmtId="0" fontId="10" fillId="4" borderId="18" xfId="0" applyFont="1" applyFill="1" applyBorder="1"/>
    <xf numFmtId="0" fontId="12" fillId="4" borderId="5" xfId="0" applyFont="1" applyFill="1" applyBorder="1" applyProtection="1">
      <protection hidden="1"/>
    </xf>
    <xf numFmtId="164" fontId="12" fillId="4" borderId="4" xfId="0" applyNumberFormat="1" applyFont="1" applyFill="1" applyBorder="1" applyProtection="1">
      <protection hidden="1"/>
    </xf>
    <xf numFmtId="0" fontId="14" fillId="4" borderId="13" xfId="0" applyFont="1" applyFill="1" applyBorder="1" applyProtection="1">
      <protection hidden="1"/>
    </xf>
    <xf numFmtId="173" fontId="16" fillId="2" borderId="18" xfId="2" applyNumberFormat="1" applyFont="1" applyFill="1" applyBorder="1" applyAlignment="1">
      <alignment horizontal="center"/>
    </xf>
    <xf numFmtId="174" fontId="16" fillId="4" borderId="0" xfId="2" applyNumberFormat="1" applyFont="1" applyFill="1" applyProtection="1"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4" fontId="5" fillId="0" borderId="0" xfId="0" applyNumberFormat="1" applyFont="1" applyAlignment="1" applyProtection="1">
      <alignment horizontal="center"/>
      <protection hidden="1"/>
    </xf>
    <xf numFmtId="0" fontId="7" fillId="2" borderId="5" xfId="0" applyFont="1" applyFill="1" applyBorder="1" applyAlignment="1" applyProtection="1">
      <alignment horizontal="center"/>
      <protection hidden="1"/>
    </xf>
    <xf numFmtId="164" fontId="12" fillId="4" borderId="0" xfId="0" applyNumberFormat="1" applyFont="1" applyFill="1" applyAlignment="1" applyProtection="1">
      <alignment horizontal="center"/>
      <protection hidden="1"/>
    </xf>
    <xf numFmtId="164" fontId="12" fillId="2" borderId="18" xfId="0" applyNumberFormat="1" applyFont="1" applyFill="1" applyBorder="1" applyAlignment="1" applyProtection="1">
      <alignment horizontal="center"/>
      <protection hidden="1"/>
    </xf>
    <xf numFmtId="164" fontId="12" fillId="4" borderId="18" xfId="0" applyNumberFormat="1" applyFont="1" applyFill="1" applyBorder="1" applyAlignment="1" applyProtection="1">
      <alignment horizontal="center"/>
      <protection hidden="1"/>
    </xf>
    <xf numFmtId="0" fontId="14" fillId="2" borderId="5" xfId="0" applyFont="1" applyFill="1" applyBorder="1" applyAlignment="1" applyProtection="1">
      <alignment horizontal="center"/>
      <protection hidden="1"/>
    </xf>
    <xf numFmtId="164" fontId="12" fillId="4" borderId="17" xfId="0" applyNumberFormat="1" applyFont="1" applyFill="1" applyBorder="1" applyAlignment="1" applyProtection="1">
      <alignment horizontal="center"/>
      <protection hidden="1"/>
    </xf>
    <xf numFmtId="164" fontId="12" fillId="4" borderId="20" xfId="0" applyNumberFormat="1" applyFont="1" applyFill="1" applyBorder="1" applyAlignment="1" applyProtection="1">
      <alignment horizontal="center"/>
      <protection hidden="1"/>
    </xf>
    <xf numFmtId="164" fontId="12" fillId="6" borderId="19" xfId="1" applyNumberFormat="1" applyFont="1" applyFill="1" applyBorder="1" applyAlignment="1" applyProtection="1">
      <alignment horizontal="center"/>
      <protection hidden="1"/>
    </xf>
    <xf numFmtId="164" fontId="12" fillId="4" borderId="14" xfId="0" applyNumberFormat="1" applyFont="1" applyFill="1" applyBorder="1" applyAlignment="1" applyProtection="1">
      <alignment horizontal="center"/>
      <protection hidden="1"/>
    </xf>
    <xf numFmtId="164" fontId="16" fillId="4" borderId="0" xfId="0" applyNumberFormat="1" applyFont="1" applyFill="1" applyAlignment="1" applyProtection="1">
      <alignment horizontal="center"/>
      <protection hidden="1"/>
    </xf>
    <xf numFmtId="164" fontId="12" fillId="2" borderId="19" xfId="1" applyNumberFormat="1" applyFont="1" applyFill="1" applyBorder="1" applyAlignment="1" applyProtection="1">
      <alignment horizontal="center"/>
      <protection hidden="1"/>
    </xf>
    <xf numFmtId="164" fontId="12" fillId="6" borderId="19" xfId="2" applyNumberFormat="1" applyFont="1" applyFill="1" applyBorder="1" applyAlignment="1" applyProtection="1">
      <alignment horizontal="center"/>
      <protection hidden="1"/>
    </xf>
    <xf numFmtId="164" fontId="12" fillId="2" borderId="18" xfId="2" applyNumberFormat="1" applyFont="1" applyFill="1" applyBorder="1" applyAlignment="1" applyProtection="1">
      <alignment horizontal="center"/>
      <protection hidden="1"/>
    </xf>
    <xf numFmtId="0" fontId="19" fillId="7" borderId="5" xfId="0" applyFont="1" applyFill="1" applyBorder="1" applyAlignment="1" applyProtection="1">
      <alignment horizontal="center"/>
      <protection hidden="1"/>
    </xf>
    <xf numFmtId="164" fontId="12" fillId="12" borderId="18" xfId="0" applyNumberFormat="1" applyFont="1" applyFill="1" applyBorder="1" applyAlignment="1" applyProtection="1">
      <alignment horizontal="center"/>
      <protection hidden="1"/>
    </xf>
    <xf numFmtId="164" fontId="12" fillId="4" borderId="18" xfId="0" applyNumberFormat="1" applyFont="1" applyFill="1" applyBorder="1" applyProtection="1">
      <protection locked="0"/>
    </xf>
    <xf numFmtId="164" fontId="12" fillId="4" borderId="17" xfId="0" applyNumberFormat="1" applyFont="1" applyFill="1" applyBorder="1" applyProtection="1">
      <protection locked="0"/>
    </xf>
    <xf numFmtId="164" fontId="12" fillId="0" borderId="17" xfId="0" applyNumberFormat="1" applyFont="1" applyBorder="1" applyProtection="1">
      <protection locked="0"/>
    </xf>
    <xf numFmtId="164" fontId="12" fillId="4" borderId="14" xfId="0" applyNumberFormat="1" applyFont="1" applyFill="1" applyBorder="1" applyProtection="1">
      <protection locked="0"/>
    </xf>
    <xf numFmtId="164" fontId="12" fillId="0" borderId="10" xfId="0" applyNumberFormat="1" applyFont="1" applyBorder="1" applyProtection="1">
      <protection locked="0"/>
    </xf>
    <xf numFmtId="164" fontId="12" fillId="0" borderId="12" xfId="0" applyNumberFormat="1" applyFont="1" applyBorder="1" applyProtection="1">
      <protection locked="0"/>
    </xf>
    <xf numFmtId="164" fontId="12" fillId="4" borderId="12" xfId="0" applyNumberFormat="1" applyFont="1" applyFill="1" applyBorder="1" applyProtection="1">
      <protection locked="0"/>
    </xf>
    <xf numFmtId="164" fontId="12" fillId="4" borderId="12" xfId="1" applyNumberFormat="1" applyFont="1" applyFill="1" applyBorder="1" applyProtection="1">
      <protection locked="0"/>
    </xf>
    <xf numFmtId="164" fontId="12" fillId="0" borderId="12" xfId="1" applyNumberFormat="1" applyFont="1" applyFill="1" applyBorder="1" applyProtection="1">
      <protection locked="0"/>
    </xf>
    <xf numFmtId="164" fontId="12" fillId="4" borderId="14" xfId="1" applyNumberFormat="1" applyFont="1" applyFill="1" applyBorder="1" applyProtection="1">
      <protection locked="0"/>
    </xf>
    <xf numFmtId="164" fontId="12" fillId="4" borderId="3" xfId="1" applyNumberFormat="1" applyFont="1" applyFill="1" applyBorder="1" applyProtection="1">
      <protection locked="0"/>
    </xf>
    <xf numFmtId="164" fontId="12" fillId="4" borderId="10" xfId="0" applyNumberFormat="1" applyFont="1" applyFill="1" applyBorder="1" applyProtection="1">
      <protection locked="0"/>
    </xf>
    <xf numFmtId="0" fontId="23" fillId="0" borderId="0" xfId="10" applyFont="1" applyProtection="1">
      <protection hidden="1"/>
    </xf>
    <xf numFmtId="0" fontId="23" fillId="0" borderId="31" xfId="10" applyFont="1" applyBorder="1" applyAlignment="1" applyProtection="1">
      <alignment horizontal="right"/>
      <protection hidden="1"/>
    </xf>
    <xf numFmtId="167" fontId="23" fillId="9" borderId="31" xfId="12" applyFont="1" applyFill="1" applyBorder="1" applyProtection="1">
      <protection hidden="1"/>
    </xf>
    <xf numFmtId="167" fontId="23" fillId="8" borderId="31" xfId="12" applyFont="1" applyFill="1" applyBorder="1" applyProtection="1">
      <protection hidden="1"/>
    </xf>
    <xf numFmtId="0" fontId="25" fillId="0" borderId="46" xfId="10" applyFont="1" applyBorder="1" applyAlignment="1" applyProtection="1">
      <alignment horizontal="center"/>
      <protection hidden="1"/>
    </xf>
    <xf numFmtId="0" fontId="23" fillId="0" borderId="46" xfId="10" applyFont="1" applyBorder="1" applyAlignment="1" applyProtection="1">
      <alignment horizontal="right"/>
      <protection hidden="1"/>
    </xf>
    <xf numFmtId="167" fontId="23" fillId="8" borderId="46" xfId="12" applyFont="1" applyFill="1" applyBorder="1" applyProtection="1">
      <protection hidden="1"/>
    </xf>
    <xf numFmtId="0" fontId="26" fillId="0" borderId="33" xfId="10" applyFont="1" applyBorder="1" applyAlignment="1" applyProtection="1">
      <alignment horizontal="center" vertical="center" textRotation="90" wrapText="1"/>
      <protection hidden="1"/>
    </xf>
    <xf numFmtId="0" fontId="26" fillId="0" borderId="33" xfId="10" applyFont="1" applyBorder="1" applyAlignment="1" applyProtection="1">
      <alignment horizontal="center" vertical="center"/>
      <protection hidden="1"/>
    </xf>
    <xf numFmtId="10" fontId="26" fillId="0" borderId="33" xfId="11" applyNumberFormat="1" applyFont="1" applyBorder="1" applyAlignment="1" applyProtection="1">
      <alignment horizontal="center" vertical="center"/>
      <protection hidden="1"/>
    </xf>
    <xf numFmtId="167" fontId="26" fillId="0" borderId="33" xfId="12" applyFont="1" applyBorder="1" applyAlignment="1" applyProtection="1">
      <alignment horizontal="center" vertical="center"/>
      <protection hidden="1"/>
    </xf>
    <xf numFmtId="170" fontId="27" fillId="0" borderId="0" xfId="14" applyFont="1" applyBorder="1" applyAlignment="1" applyProtection="1">
      <alignment vertical="center"/>
      <protection hidden="1"/>
    </xf>
    <xf numFmtId="10" fontId="27" fillId="10" borderId="0" xfId="15" applyNumberFormat="1" applyFont="1" applyFill="1" applyBorder="1" applyAlignment="1" applyProtection="1">
      <alignment vertical="center"/>
      <protection hidden="1"/>
    </xf>
    <xf numFmtId="0" fontId="30" fillId="0" borderId="31" xfId="10" applyFont="1" applyBorder="1" applyAlignment="1" applyProtection="1">
      <alignment horizontal="center" vertical="center"/>
      <protection hidden="1"/>
    </xf>
    <xf numFmtId="167" fontId="30" fillId="0" borderId="46" xfId="12" applyFont="1" applyBorder="1" applyAlignment="1" applyProtection="1">
      <alignment horizontal="center" vertical="center"/>
      <protection hidden="1"/>
    </xf>
    <xf numFmtId="0" fontId="26" fillId="0" borderId="32" xfId="10" applyFont="1" applyBorder="1" applyAlignment="1" applyProtection="1">
      <alignment horizontal="center" vertical="center" wrapText="1"/>
      <protection hidden="1"/>
    </xf>
    <xf numFmtId="0" fontId="3" fillId="0" borderId="0" xfId="0" applyFont="1" applyAlignment="1" applyProtection="1">
      <alignment horizontal="center"/>
      <protection hidden="1"/>
    </xf>
    <xf numFmtId="4" fontId="0" fillId="0" borderId="0" xfId="0" applyNumberFormat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3" fillId="7" borderId="18" xfId="0" applyNumberFormat="1" applyFont="1" applyFill="1" applyBorder="1" applyAlignment="1" applyProtection="1">
      <alignment horizontal="center"/>
      <protection hidden="1"/>
    </xf>
    <xf numFmtId="1" fontId="3" fillId="7" borderId="5" xfId="0" applyNumberFormat="1" applyFont="1" applyFill="1" applyBorder="1" applyAlignment="1" applyProtection="1">
      <alignment horizontal="center"/>
      <protection hidden="1"/>
    </xf>
    <xf numFmtId="1" fontId="3" fillId="0" borderId="0" xfId="0" applyNumberFormat="1" applyFont="1" applyProtection="1">
      <protection hidden="1"/>
    </xf>
    <xf numFmtId="1" fontId="3" fillId="13" borderId="18" xfId="0" applyNumberFormat="1" applyFont="1" applyFill="1" applyBorder="1" applyAlignment="1" applyProtection="1">
      <alignment horizontal="center"/>
      <protection hidden="1"/>
    </xf>
    <xf numFmtId="0" fontId="3" fillId="0" borderId="0" xfId="0" applyFont="1" applyProtection="1">
      <protection hidden="1"/>
    </xf>
    <xf numFmtId="0" fontId="3" fillId="7" borderId="10" xfId="0" applyFont="1" applyFill="1" applyBorder="1" applyAlignment="1" applyProtection="1">
      <alignment horizontal="center"/>
      <protection hidden="1"/>
    </xf>
    <xf numFmtId="4" fontId="0" fillId="0" borderId="0" xfId="0" applyNumberFormat="1" applyProtection="1">
      <protection hidden="1"/>
    </xf>
    <xf numFmtId="4" fontId="3" fillId="4" borderId="26" xfId="0" applyNumberFormat="1" applyFont="1" applyFill="1" applyBorder="1" applyAlignment="1" applyProtection="1">
      <alignment horizontal="center"/>
      <protection hidden="1"/>
    </xf>
    <xf numFmtId="0" fontId="3" fillId="7" borderId="12" xfId="0" applyFont="1" applyFill="1" applyBorder="1" applyAlignment="1" applyProtection="1">
      <alignment horizontal="center"/>
      <protection hidden="1"/>
    </xf>
    <xf numFmtId="0" fontId="3" fillId="7" borderId="14" xfId="0" applyFont="1" applyFill="1" applyBorder="1" applyAlignment="1" applyProtection="1">
      <alignment horizontal="center"/>
      <protection hidden="1"/>
    </xf>
    <xf numFmtId="10" fontId="0" fillId="0" borderId="0" xfId="2" applyNumberFormat="1" applyFont="1" applyProtection="1">
      <protection hidden="1"/>
    </xf>
    <xf numFmtId="0" fontId="3" fillId="13" borderId="18" xfId="0" applyFont="1" applyFill="1" applyBorder="1" applyAlignment="1" applyProtection="1">
      <alignment horizontal="center"/>
      <protection hidden="1"/>
    </xf>
    <xf numFmtId="4" fontId="3" fillId="13" borderId="54" xfId="0" applyNumberFormat="1" applyFont="1" applyFill="1" applyBorder="1" applyAlignment="1" applyProtection="1">
      <alignment horizontal="center"/>
      <protection hidden="1"/>
    </xf>
    <xf numFmtId="4" fontId="3" fillId="13" borderId="16" xfId="0" applyNumberFormat="1" applyFont="1" applyFill="1" applyBorder="1" applyAlignment="1" applyProtection="1">
      <alignment horizontal="center"/>
      <protection hidden="1"/>
    </xf>
    <xf numFmtId="4" fontId="3" fillId="13" borderId="18" xfId="0" applyNumberFormat="1" applyFont="1" applyFill="1" applyBorder="1" applyAlignment="1" applyProtection="1">
      <alignment horizontal="center"/>
      <protection hidden="1"/>
    </xf>
    <xf numFmtId="0" fontId="3" fillId="2" borderId="18" xfId="0" applyFont="1" applyFill="1" applyBorder="1" applyAlignment="1" applyProtection="1">
      <alignment horizontal="center"/>
      <protection hidden="1"/>
    </xf>
    <xf numFmtId="4" fontId="3" fillId="2" borderId="58" xfId="0" applyNumberFormat="1" applyFont="1" applyFill="1" applyBorder="1" applyAlignment="1" applyProtection="1">
      <alignment horizontal="center"/>
      <protection hidden="1"/>
    </xf>
    <xf numFmtId="4" fontId="3" fillId="2" borderId="54" xfId="0" applyNumberFormat="1" applyFont="1" applyFill="1" applyBorder="1" applyAlignment="1" applyProtection="1">
      <alignment horizontal="center"/>
      <protection hidden="1"/>
    </xf>
    <xf numFmtId="4" fontId="3" fillId="2" borderId="16" xfId="0" applyNumberFormat="1" applyFont="1" applyFill="1" applyBorder="1" applyAlignment="1" applyProtection="1">
      <alignment horizontal="center"/>
      <protection hidden="1"/>
    </xf>
    <xf numFmtId="4" fontId="3" fillId="0" borderId="0" xfId="0" applyNumberFormat="1" applyFont="1" applyProtection="1">
      <protection hidden="1"/>
    </xf>
    <xf numFmtId="4" fontId="3" fillId="2" borderId="18" xfId="0" applyNumberFormat="1" applyFont="1" applyFill="1" applyBorder="1" applyAlignment="1" applyProtection="1">
      <alignment horizontal="center"/>
      <protection hidden="1"/>
    </xf>
    <xf numFmtId="4" fontId="3" fillId="0" borderId="0" xfId="0" applyNumberFormat="1" applyFont="1" applyAlignment="1" applyProtection="1">
      <alignment horizontal="center"/>
      <protection hidden="1"/>
    </xf>
    <xf numFmtId="172" fontId="0" fillId="0" borderId="0" xfId="2" applyNumberFormat="1" applyFont="1" applyAlignment="1" applyProtection="1">
      <alignment horizontal="center"/>
      <protection hidden="1"/>
    </xf>
    <xf numFmtId="4" fontId="3" fillId="0" borderId="57" xfId="0" applyNumberFormat="1" applyFont="1" applyBorder="1" applyAlignment="1" applyProtection="1">
      <alignment horizontal="center"/>
      <protection locked="0"/>
    </xf>
    <xf numFmtId="4" fontId="3" fillId="0" borderId="50" xfId="0" applyNumberFormat="1" applyFont="1" applyBorder="1" applyAlignment="1" applyProtection="1">
      <alignment horizontal="center"/>
      <protection locked="0"/>
    </xf>
    <xf numFmtId="4" fontId="3" fillId="0" borderId="51" xfId="0" applyNumberFormat="1" applyFont="1" applyBorder="1" applyAlignment="1" applyProtection="1">
      <alignment horizontal="center"/>
      <protection locked="0"/>
    </xf>
    <xf numFmtId="4" fontId="3" fillId="0" borderId="59" xfId="0" applyNumberFormat="1" applyFont="1" applyBorder="1" applyAlignment="1" applyProtection="1">
      <alignment horizontal="center"/>
      <protection locked="0"/>
    </xf>
    <xf numFmtId="4" fontId="3" fillId="0" borderId="32" xfId="0" applyNumberFormat="1" applyFont="1" applyBorder="1" applyAlignment="1" applyProtection="1">
      <alignment horizontal="center"/>
      <protection locked="0"/>
    </xf>
    <xf numFmtId="4" fontId="3" fillId="0" borderId="29" xfId="0" applyNumberFormat="1" applyFont="1" applyBorder="1" applyAlignment="1" applyProtection="1">
      <alignment horizontal="center"/>
      <protection locked="0"/>
    </xf>
    <xf numFmtId="4" fontId="3" fillId="0" borderId="60" xfId="0" applyNumberFormat="1" applyFont="1" applyBorder="1" applyAlignment="1" applyProtection="1">
      <alignment horizontal="center"/>
      <protection locked="0"/>
    </xf>
    <xf numFmtId="4" fontId="3" fillId="0" borderId="52" xfId="0" applyNumberFormat="1" applyFont="1" applyBorder="1" applyAlignment="1" applyProtection="1">
      <alignment horizontal="center"/>
      <protection locked="0"/>
    </xf>
    <xf numFmtId="4" fontId="3" fillId="0" borderId="53" xfId="0" applyNumberFormat="1" applyFont="1" applyBorder="1" applyAlignment="1" applyProtection="1">
      <alignment horizontal="center"/>
      <protection locked="0"/>
    </xf>
    <xf numFmtId="164" fontId="12" fillId="0" borderId="12" xfId="1" quotePrefix="1" applyNumberFormat="1" applyFont="1" applyFill="1" applyBorder="1" applyProtection="1">
      <protection locked="0" hidden="1"/>
    </xf>
    <xf numFmtId="164" fontId="14" fillId="2" borderId="5" xfId="0" applyNumberFormat="1" applyFont="1" applyFill="1" applyBorder="1" applyProtection="1">
      <protection hidden="1"/>
    </xf>
    <xf numFmtId="164" fontId="12" fillId="6" borderId="18" xfId="0" applyNumberFormat="1" applyFont="1" applyFill="1" applyBorder="1" applyAlignment="1" applyProtection="1">
      <alignment horizontal="center"/>
      <protection hidden="1"/>
    </xf>
    <xf numFmtId="0" fontId="12" fillId="12" borderId="4" xfId="0" applyFont="1" applyFill="1" applyBorder="1" applyProtection="1">
      <protection hidden="1"/>
    </xf>
    <xf numFmtId="0" fontId="12" fillId="12" borderId="6" xfId="0" applyFont="1" applyFill="1" applyBorder="1" applyProtection="1">
      <protection hidden="1"/>
    </xf>
    <xf numFmtId="0" fontId="14" fillId="2" borderId="4" xfId="0" applyFont="1" applyFill="1" applyBorder="1" applyAlignment="1" applyProtection="1">
      <alignment horizontal="left"/>
      <protection hidden="1"/>
    </xf>
    <xf numFmtId="0" fontId="14" fillId="2" borderId="6" xfId="0" applyFont="1" applyFill="1" applyBorder="1" applyAlignment="1" applyProtection="1">
      <alignment horizontal="left"/>
      <protection hidden="1"/>
    </xf>
    <xf numFmtId="0" fontId="12" fillId="6" borderId="4" xfId="0" applyFont="1" applyFill="1" applyBorder="1" applyAlignment="1" applyProtection="1">
      <alignment horizontal="left"/>
      <protection hidden="1"/>
    </xf>
    <xf numFmtId="0" fontId="12" fillId="6" borderId="6" xfId="0" applyFont="1" applyFill="1" applyBorder="1" applyAlignment="1" applyProtection="1">
      <alignment horizontal="left"/>
      <protection hidden="1"/>
    </xf>
    <xf numFmtId="0" fontId="14" fillId="2" borderId="5" xfId="0" applyFont="1" applyFill="1" applyBorder="1" applyAlignment="1" applyProtection="1">
      <alignment horizontal="left"/>
      <protection hidden="1"/>
    </xf>
    <xf numFmtId="0" fontId="19" fillId="2" borderId="4" xfId="0" applyFont="1" applyFill="1" applyBorder="1" applyAlignment="1" applyProtection="1">
      <alignment horizontal="left"/>
      <protection hidden="1"/>
    </xf>
    <xf numFmtId="0" fontId="19" fillId="2" borderId="6" xfId="0" applyFont="1" applyFill="1" applyBorder="1" applyAlignment="1" applyProtection="1">
      <alignment horizontal="left"/>
      <protection hidden="1"/>
    </xf>
    <xf numFmtId="17" fontId="6" fillId="5" borderId="4" xfId="0" applyNumberFormat="1" applyFont="1" applyFill="1" applyBorder="1" applyAlignment="1" applyProtection="1">
      <alignment horizontal="center" vertical="center" wrapText="1"/>
      <protection hidden="1"/>
    </xf>
    <xf numFmtId="17" fontId="6" fillId="5" borderId="5" xfId="0" applyNumberFormat="1" applyFont="1" applyFill="1" applyBorder="1" applyAlignment="1" applyProtection="1">
      <alignment horizontal="center" vertical="center" wrapText="1"/>
      <protection hidden="1"/>
    </xf>
    <xf numFmtId="17" fontId="6" fillId="5" borderId="6" xfId="0" applyNumberFormat="1" applyFont="1" applyFill="1" applyBorder="1" applyAlignment="1" applyProtection="1">
      <alignment horizontal="center" vertical="center" wrapText="1"/>
      <protection hidden="1"/>
    </xf>
    <xf numFmtId="164" fontId="6" fillId="5" borderId="4" xfId="0" applyNumberFormat="1" applyFont="1" applyFill="1" applyBorder="1" applyAlignment="1" applyProtection="1">
      <alignment horizontal="center" vertical="center" wrapText="1"/>
      <protection hidden="1"/>
    </xf>
    <xf numFmtId="164" fontId="6" fillId="5" borderId="5" xfId="0" applyNumberFormat="1" applyFont="1" applyFill="1" applyBorder="1" applyAlignment="1" applyProtection="1">
      <alignment horizontal="center" vertical="center" wrapText="1"/>
      <protection hidden="1"/>
    </xf>
    <xf numFmtId="164" fontId="6" fillId="5" borderId="6" xfId="0" applyNumberFormat="1" applyFont="1" applyFill="1" applyBorder="1" applyAlignment="1" applyProtection="1">
      <alignment horizontal="center" vertical="center" wrapText="1"/>
      <protection hidden="1"/>
    </xf>
    <xf numFmtId="0" fontId="19" fillId="2" borderId="5" xfId="0" applyFont="1" applyFill="1" applyBorder="1" applyAlignment="1" applyProtection="1">
      <alignment horizontal="left"/>
      <protection hidden="1"/>
    </xf>
    <xf numFmtId="0" fontId="4" fillId="5" borderId="1" xfId="0" applyFont="1" applyFill="1" applyBorder="1" applyAlignment="1" applyProtection="1">
      <alignment horizontal="center" vertical="center" wrapText="1"/>
      <protection hidden="1"/>
    </xf>
    <xf numFmtId="0" fontId="4" fillId="5" borderId="2" xfId="0" applyFont="1" applyFill="1" applyBorder="1" applyAlignment="1" applyProtection="1">
      <alignment horizontal="center" vertical="center" wrapText="1"/>
      <protection hidden="1"/>
    </xf>
    <xf numFmtId="0" fontId="4" fillId="5" borderId="7" xfId="0" applyFont="1" applyFill="1" applyBorder="1" applyAlignment="1" applyProtection="1">
      <alignment horizontal="center" vertical="center" wrapText="1"/>
      <protection hidden="1"/>
    </xf>
    <xf numFmtId="0" fontId="4" fillId="5" borderId="8" xfId="0" applyFont="1" applyFill="1" applyBorder="1" applyAlignment="1" applyProtection="1">
      <alignment horizontal="center" vertical="center" wrapText="1"/>
      <protection hidden="1"/>
    </xf>
    <xf numFmtId="164" fontId="5" fillId="3" borderId="1" xfId="0" applyNumberFormat="1" applyFont="1" applyFill="1" applyBorder="1" applyAlignment="1" applyProtection="1">
      <alignment horizontal="center" vertical="center" wrapText="1"/>
      <protection hidden="1"/>
    </xf>
    <xf numFmtId="164" fontId="5" fillId="3" borderId="7" xfId="0" applyNumberFormat="1" applyFont="1" applyFill="1" applyBorder="1" applyAlignment="1" applyProtection="1">
      <alignment horizontal="center" vertical="center" wrapText="1"/>
      <protection hidden="1"/>
    </xf>
    <xf numFmtId="165" fontId="5" fillId="3" borderId="3" xfId="0" applyNumberFormat="1" applyFont="1" applyFill="1" applyBorder="1" applyAlignment="1" applyProtection="1">
      <alignment horizontal="center" vertical="center" wrapText="1"/>
      <protection hidden="1"/>
    </xf>
    <xf numFmtId="165" fontId="5" fillId="3" borderId="9" xfId="0" applyNumberFormat="1" applyFont="1" applyFill="1" applyBorder="1" applyAlignment="1" applyProtection="1">
      <alignment horizontal="center" vertical="center" wrapText="1"/>
      <protection hidden="1"/>
    </xf>
    <xf numFmtId="4" fontId="37" fillId="6" borderId="4" xfId="0" applyNumberFormat="1" applyFont="1" applyFill="1" applyBorder="1" applyAlignment="1" applyProtection="1">
      <alignment horizontal="center"/>
      <protection hidden="1"/>
    </xf>
    <xf numFmtId="4" fontId="37" fillId="6" borderId="5" xfId="0" applyNumberFormat="1" applyFont="1" applyFill="1" applyBorder="1" applyAlignment="1" applyProtection="1">
      <alignment horizontal="center"/>
      <protection hidden="1"/>
    </xf>
    <xf numFmtId="4" fontId="37" fillId="6" borderId="6" xfId="0" applyNumberFormat="1" applyFont="1" applyFill="1" applyBorder="1" applyAlignment="1" applyProtection="1">
      <alignment horizontal="center"/>
      <protection hidden="1"/>
    </xf>
    <xf numFmtId="10" fontId="27" fillId="10" borderId="32" xfId="15" applyNumberFormat="1" applyFont="1" applyFill="1" applyBorder="1" applyAlignment="1" applyProtection="1">
      <alignment horizontal="center" vertical="center"/>
      <protection hidden="1"/>
    </xf>
    <xf numFmtId="10" fontId="27" fillId="10" borderId="31" xfId="15" applyNumberFormat="1" applyFont="1" applyFill="1" applyBorder="1" applyAlignment="1" applyProtection="1">
      <alignment horizontal="center" vertical="center"/>
      <protection hidden="1"/>
    </xf>
    <xf numFmtId="167" fontId="26" fillId="0" borderId="32" xfId="12" applyFont="1" applyBorder="1" applyAlignment="1" applyProtection="1">
      <alignment horizontal="center"/>
      <protection hidden="1"/>
    </xf>
    <xf numFmtId="169" fontId="29" fillId="11" borderId="31" xfId="13" applyFont="1" applyFill="1" applyBorder="1" applyAlignment="1" applyProtection="1">
      <alignment horizontal="center" vertical="center"/>
      <protection hidden="1"/>
    </xf>
    <xf numFmtId="169" fontId="29" fillId="11" borderId="43" xfId="13" applyFont="1" applyFill="1" applyBorder="1" applyAlignment="1" applyProtection="1">
      <alignment horizontal="center" vertical="center"/>
      <protection hidden="1"/>
    </xf>
    <xf numFmtId="0" fontId="26" fillId="0" borderId="36" xfId="10" applyFont="1" applyBorder="1" applyAlignment="1" applyProtection="1">
      <alignment horizontal="center" vertical="center" wrapText="1"/>
      <protection hidden="1"/>
    </xf>
    <xf numFmtId="0" fontId="26" fillId="0" borderId="37" xfId="10" applyFont="1" applyBorder="1" applyAlignment="1" applyProtection="1">
      <alignment horizontal="center" vertical="center" wrapText="1"/>
      <protection hidden="1"/>
    </xf>
    <xf numFmtId="0" fontId="26" fillId="0" borderId="48" xfId="10" applyFont="1" applyBorder="1" applyAlignment="1" applyProtection="1">
      <alignment horizontal="center" vertical="center" wrapText="1"/>
      <protection hidden="1"/>
    </xf>
    <xf numFmtId="0" fontId="26" fillId="0" borderId="0" xfId="10" applyFont="1" applyAlignment="1" applyProtection="1">
      <alignment horizontal="center" vertical="center" wrapText="1"/>
      <protection hidden="1"/>
    </xf>
    <xf numFmtId="0" fontId="26" fillId="0" borderId="40" xfId="10" applyFont="1" applyBorder="1" applyAlignment="1" applyProtection="1">
      <alignment horizontal="center" vertical="center" wrapText="1"/>
      <protection hidden="1"/>
    </xf>
    <xf numFmtId="0" fontId="26" fillId="0" borderId="41" xfId="10" applyFont="1" applyBorder="1" applyAlignment="1" applyProtection="1">
      <alignment horizontal="center" vertical="center" wrapText="1"/>
      <protection hidden="1"/>
    </xf>
    <xf numFmtId="167" fontId="23" fillId="8" borderId="31" xfId="12" applyFont="1" applyFill="1" applyBorder="1" applyAlignment="1" applyProtection="1">
      <alignment horizontal="center" vertical="center"/>
      <protection locked="0"/>
    </xf>
    <xf numFmtId="169" fontId="24" fillId="8" borderId="31" xfId="13" applyFont="1" applyFill="1" applyBorder="1" applyAlignment="1" applyProtection="1">
      <alignment horizontal="center" vertical="center"/>
      <protection locked="0"/>
    </xf>
    <xf numFmtId="169" fontId="24" fillId="8" borderId="43" xfId="13" applyFont="1" applyFill="1" applyBorder="1" applyAlignment="1" applyProtection="1">
      <alignment horizontal="center" vertical="center"/>
      <protection locked="0"/>
    </xf>
    <xf numFmtId="0" fontId="25" fillId="0" borderId="45" xfId="10" applyFont="1" applyBorder="1" applyAlignment="1" applyProtection="1">
      <alignment horizontal="center"/>
      <protection hidden="1"/>
    </xf>
    <xf numFmtId="0" fontId="25" fillId="0" borderId="46" xfId="10" applyFont="1" applyBorder="1" applyAlignment="1" applyProtection="1">
      <alignment horizontal="center"/>
      <protection hidden="1"/>
    </xf>
    <xf numFmtId="167" fontId="23" fillId="8" borderId="46" xfId="12" applyFont="1" applyFill="1" applyBorder="1" applyAlignment="1" applyProtection="1">
      <alignment horizontal="center" vertical="center"/>
      <protection locked="0"/>
    </xf>
    <xf numFmtId="170" fontId="27" fillId="0" borderId="42" xfId="14" applyFont="1" applyBorder="1" applyAlignment="1" applyProtection="1">
      <alignment horizontal="center" vertical="center"/>
      <protection hidden="1"/>
    </xf>
    <xf numFmtId="170" fontId="27" fillId="0" borderId="32" xfId="14" applyFont="1" applyBorder="1" applyAlignment="1" applyProtection="1">
      <alignment horizontal="center" vertical="center"/>
      <protection hidden="1"/>
    </xf>
    <xf numFmtId="170" fontId="27" fillId="0" borderId="34" xfId="14" applyFont="1" applyBorder="1" applyAlignment="1" applyProtection="1">
      <alignment horizontal="center" vertical="center"/>
      <protection hidden="1"/>
    </xf>
    <xf numFmtId="170" fontId="27" fillId="0" borderId="31" xfId="14" applyFont="1" applyBorder="1" applyAlignment="1" applyProtection="1">
      <alignment horizontal="center" vertical="center"/>
      <protection hidden="1"/>
    </xf>
    <xf numFmtId="0" fontId="26" fillId="0" borderId="36" xfId="10" applyFont="1" applyBorder="1" applyAlignment="1" applyProtection="1">
      <alignment horizontal="center" vertical="center"/>
      <protection hidden="1"/>
    </xf>
    <xf numFmtId="0" fontId="26" fillId="0" borderId="37" xfId="10" applyFont="1" applyBorder="1" applyAlignment="1" applyProtection="1">
      <alignment horizontal="center" vertical="center"/>
      <protection hidden="1"/>
    </xf>
    <xf numFmtId="0" fontId="26" fillId="0" borderId="38" xfId="10" applyFont="1" applyBorder="1" applyAlignment="1" applyProtection="1">
      <alignment horizontal="center" vertical="center"/>
      <protection hidden="1"/>
    </xf>
    <xf numFmtId="0" fontId="26" fillId="0" borderId="40" xfId="10" applyFont="1" applyBorder="1" applyAlignment="1" applyProtection="1">
      <alignment horizontal="center" vertical="center"/>
      <protection hidden="1"/>
    </xf>
    <xf numFmtId="0" fontId="26" fillId="0" borderId="41" xfId="10" applyFont="1" applyBorder="1" applyAlignment="1" applyProtection="1">
      <alignment horizontal="center" vertical="center"/>
      <protection hidden="1"/>
    </xf>
    <xf numFmtId="0" fontId="26" fillId="0" borderId="42" xfId="10" applyFont="1" applyBorder="1" applyAlignment="1" applyProtection="1">
      <alignment horizontal="center" vertical="center"/>
      <protection hidden="1"/>
    </xf>
    <xf numFmtId="10" fontId="26" fillId="8" borderId="32" xfId="11" applyNumberFormat="1" applyFont="1" applyFill="1" applyBorder="1" applyAlignment="1" applyProtection="1">
      <alignment horizontal="center" vertical="center"/>
      <protection locked="0"/>
    </xf>
    <xf numFmtId="10" fontId="26" fillId="8" borderId="31" xfId="11" applyNumberFormat="1" applyFont="1" applyFill="1" applyBorder="1" applyAlignment="1" applyProtection="1">
      <alignment horizontal="center" vertical="center"/>
      <protection locked="0"/>
    </xf>
    <xf numFmtId="10" fontId="26" fillId="9" borderId="32" xfId="11" applyNumberFormat="1" applyFont="1" applyFill="1" applyBorder="1" applyAlignment="1" applyProtection="1">
      <alignment horizontal="center" vertical="center"/>
      <protection hidden="1"/>
    </xf>
    <xf numFmtId="10" fontId="26" fillId="9" borderId="31" xfId="11" applyNumberFormat="1" applyFont="1" applyFill="1" applyBorder="1" applyAlignment="1" applyProtection="1">
      <alignment horizontal="center" vertical="center"/>
      <protection hidden="1"/>
    </xf>
    <xf numFmtId="0" fontId="25" fillId="0" borderId="31" xfId="10" applyFont="1" applyBorder="1" applyAlignment="1" applyProtection="1">
      <alignment horizontal="center"/>
      <protection hidden="1"/>
    </xf>
    <xf numFmtId="0" fontId="28" fillId="0" borderId="31" xfId="10" applyFont="1" applyBorder="1" applyAlignment="1" applyProtection="1">
      <alignment horizontal="center"/>
      <protection hidden="1"/>
    </xf>
    <xf numFmtId="0" fontId="25" fillId="0" borderId="31" xfId="10" applyFont="1" applyBorder="1" applyAlignment="1" applyProtection="1">
      <alignment horizontal="center" vertical="center"/>
      <protection hidden="1"/>
    </xf>
    <xf numFmtId="0" fontId="25" fillId="0" borderId="43" xfId="10" applyFont="1" applyBorder="1" applyAlignment="1" applyProtection="1">
      <alignment horizontal="center" vertical="center"/>
      <protection hidden="1"/>
    </xf>
    <xf numFmtId="0" fontId="25" fillId="0" borderId="34" xfId="10" applyFont="1" applyBorder="1" applyAlignment="1" applyProtection="1">
      <alignment horizontal="center"/>
      <protection hidden="1"/>
    </xf>
    <xf numFmtId="0" fontId="26" fillId="0" borderId="32" xfId="10" applyFont="1" applyBorder="1" applyAlignment="1" applyProtection="1">
      <alignment horizontal="center" vertical="center"/>
      <protection hidden="1"/>
    </xf>
    <xf numFmtId="0" fontId="26" fillId="0" borderId="35" xfId="10" applyFont="1" applyBorder="1" applyAlignment="1" applyProtection="1">
      <alignment horizontal="center" vertical="center"/>
      <protection hidden="1"/>
    </xf>
    <xf numFmtId="10" fontId="26" fillId="0" borderId="32" xfId="11" applyNumberFormat="1" applyFont="1" applyBorder="1" applyAlignment="1" applyProtection="1">
      <alignment horizontal="center" vertical="center"/>
      <protection hidden="1"/>
    </xf>
    <xf numFmtId="10" fontId="26" fillId="0" borderId="35" xfId="11" applyNumberFormat="1" applyFont="1" applyBorder="1" applyAlignment="1" applyProtection="1">
      <alignment horizontal="center" vertical="center"/>
      <protection hidden="1"/>
    </xf>
    <xf numFmtId="167" fontId="26" fillId="0" borderId="32" xfId="12" applyFont="1" applyBorder="1" applyAlignment="1" applyProtection="1">
      <alignment horizontal="center" vertical="center"/>
      <protection hidden="1"/>
    </xf>
    <xf numFmtId="167" fontId="26" fillId="0" borderId="35" xfId="12" applyFont="1" applyBorder="1" applyAlignment="1" applyProtection="1">
      <alignment horizontal="center" vertical="center"/>
      <protection hidden="1"/>
    </xf>
    <xf numFmtId="0" fontId="24" fillId="0" borderId="33" xfId="10" applyFont="1" applyBorder="1" applyAlignment="1" applyProtection="1">
      <alignment horizontal="center" vertical="center"/>
      <protection hidden="1"/>
    </xf>
    <xf numFmtId="0" fontId="25" fillId="0" borderId="33" xfId="10" applyFont="1" applyBorder="1" applyAlignment="1" applyProtection="1">
      <alignment horizontal="center" vertical="center"/>
      <protection hidden="1"/>
    </xf>
    <xf numFmtId="0" fontId="26" fillId="0" borderId="31" xfId="10" applyFont="1" applyBorder="1" applyAlignment="1" applyProtection="1">
      <alignment horizontal="center" vertical="center" textRotation="90" wrapText="1"/>
      <protection hidden="1"/>
    </xf>
    <xf numFmtId="0" fontId="26" fillId="0" borderId="35" xfId="10" applyFont="1" applyBorder="1" applyAlignment="1" applyProtection="1">
      <alignment horizontal="center" vertical="center" textRotation="90" wrapText="1"/>
      <protection hidden="1"/>
    </xf>
    <xf numFmtId="0" fontId="23" fillId="0" borderId="35" xfId="10" applyFont="1" applyBorder="1" applyAlignment="1" applyProtection="1">
      <alignment horizontal="center" vertical="center" wrapText="1"/>
      <protection hidden="1"/>
    </xf>
    <xf numFmtId="0" fontId="23" fillId="0" borderId="39" xfId="10" applyFont="1" applyBorder="1" applyAlignment="1" applyProtection="1">
      <alignment horizontal="center" vertical="center" wrapText="1"/>
      <protection hidden="1"/>
    </xf>
    <xf numFmtId="0" fontId="23" fillId="0" borderId="32" xfId="10" applyFont="1" applyBorder="1" applyAlignment="1" applyProtection="1">
      <alignment horizontal="center" vertical="center" wrapText="1"/>
      <protection hidden="1"/>
    </xf>
    <xf numFmtId="0" fontId="27" fillId="0" borderId="36" xfId="10" applyFont="1" applyBorder="1" applyAlignment="1" applyProtection="1">
      <alignment horizontal="center" vertical="center"/>
      <protection hidden="1"/>
    </xf>
    <xf numFmtId="0" fontId="27" fillId="0" borderId="37" xfId="10" applyFont="1" applyBorder="1" applyAlignment="1" applyProtection="1">
      <alignment horizontal="center" vertical="center"/>
      <protection hidden="1"/>
    </xf>
    <xf numFmtId="0" fontId="27" fillId="0" borderId="38" xfId="10" applyFont="1" applyBorder="1" applyAlignment="1" applyProtection="1">
      <alignment horizontal="center" vertical="center"/>
      <protection hidden="1"/>
    </xf>
    <xf numFmtId="0" fontId="27" fillId="0" borderId="40" xfId="10" applyFont="1" applyBorder="1" applyAlignment="1" applyProtection="1">
      <alignment horizontal="center" vertical="center"/>
      <protection hidden="1"/>
    </xf>
    <xf numFmtId="0" fontId="27" fillId="0" borderId="41" xfId="10" applyFont="1" applyBorder="1" applyAlignment="1" applyProtection="1">
      <alignment horizontal="center" vertical="center"/>
      <protection hidden="1"/>
    </xf>
    <xf numFmtId="0" fontId="27" fillId="0" borderId="42" xfId="10" applyFont="1" applyBorder="1" applyAlignment="1" applyProtection="1">
      <alignment horizontal="center" vertical="center"/>
      <protection hidden="1"/>
    </xf>
    <xf numFmtId="168" fontId="27" fillId="0" borderId="31" xfId="10" applyNumberFormat="1" applyFont="1" applyBorder="1" applyAlignment="1" applyProtection="1">
      <alignment horizontal="center" vertical="center"/>
      <protection hidden="1"/>
    </xf>
    <xf numFmtId="0" fontId="23" fillId="0" borderId="47" xfId="10" applyFont="1" applyBorder="1" applyAlignment="1" applyProtection="1">
      <alignment horizontal="center" vertical="center" wrapText="1"/>
      <protection hidden="1"/>
    </xf>
    <xf numFmtId="0" fontId="25" fillId="0" borderId="44" xfId="10" applyFont="1" applyBorder="1" applyAlignment="1" applyProtection="1">
      <alignment horizontal="center"/>
      <protection hidden="1"/>
    </xf>
    <xf numFmtId="169" fontId="24" fillId="10" borderId="31" xfId="13" applyFont="1" applyFill="1" applyBorder="1" applyAlignment="1" applyProtection="1">
      <alignment horizontal="center" vertical="center"/>
      <protection hidden="1"/>
    </xf>
    <xf numFmtId="169" fontId="24" fillId="10" borderId="43" xfId="13" applyFont="1" applyFill="1" applyBorder="1" applyAlignment="1" applyProtection="1">
      <alignment horizontal="center" vertical="center"/>
      <protection hidden="1"/>
    </xf>
  </cellXfs>
  <cellStyles count="16">
    <cellStyle name="Moeda 2" xfId="8" xr:uid="{00000000-0005-0000-0000-000000000000}"/>
    <cellStyle name="Moeda 3" xfId="12" xr:uid="{00000000-0005-0000-0000-000001000000}"/>
    <cellStyle name="Moeda_Plan Fin - APURAÇÕES - TECNOPLATING 2" xfId="14" xr:uid="{00000000-0005-0000-0000-000002000000}"/>
    <cellStyle name="Moeda_Planilha FPV 2" xfId="13" xr:uid="{00000000-0005-0000-0000-000003000000}"/>
    <cellStyle name="Normal" xfId="0" builtinId="0"/>
    <cellStyle name="Normal 2" xfId="4" xr:uid="{00000000-0005-0000-0000-000005000000}"/>
    <cellStyle name="Normal 3" xfId="5" xr:uid="{00000000-0005-0000-0000-000006000000}"/>
    <cellStyle name="Normal 4" xfId="6" xr:uid="{00000000-0005-0000-0000-000007000000}"/>
    <cellStyle name="Normal 5" xfId="10" xr:uid="{00000000-0005-0000-0000-000008000000}"/>
    <cellStyle name="Porcentagem" xfId="2" builtinId="5"/>
    <cellStyle name="Porcentagem 2" xfId="7" xr:uid="{00000000-0005-0000-0000-00000A000000}"/>
    <cellStyle name="Porcentagem 3" xfId="11" xr:uid="{00000000-0005-0000-0000-00000B000000}"/>
    <cellStyle name="Sep. milhar [0]" xfId="9" xr:uid="{00000000-0005-0000-0000-00000C000000}"/>
    <cellStyle name="Separador de milhares [0]_AnalResult5_Squalle 2" xfId="15" xr:uid="{00000000-0005-0000-0000-00000D000000}"/>
    <cellStyle name="Vírgula" xfId="1" builtinId="3"/>
    <cellStyle name="Vírgula 2" xfId="3" xr:uid="{00000000-0005-0000-0000-00000F000000}"/>
  </cellStyles>
  <dxfs count="0"/>
  <tableStyles count="0" defaultTableStyle="TableStyleMedium9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en-US" sz="2000"/>
              <a:t>MÉDIA</a:t>
            </a:r>
            <a:r>
              <a:rPr lang="en-US" sz="2000" baseline="0"/>
              <a:t> GERAL - VENDAS MÊS</a:t>
            </a:r>
            <a:endParaRPr lang="en-US" sz="2000"/>
          </a:p>
        </c:rich>
      </c:tx>
      <c:layout>
        <c:manualLayout>
          <c:xMode val="edge"/>
          <c:yMode val="edge"/>
          <c:x val="0.13124338624338627"/>
          <c:y val="2.094240837696335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664003396634244"/>
          <c:y val="0.17487790465982328"/>
          <c:w val="0.82838634141320566"/>
          <c:h val="0.71175083481057033"/>
        </c:manualLayout>
      </c:layout>
      <c:barChart>
        <c:barDir val="col"/>
        <c:grouping val="clustered"/>
        <c:varyColors val="0"/>
        <c:ser>
          <c:idx val="0"/>
          <c:order val="0"/>
          <c:tx>
            <c:v>Média de Vendas</c:v>
          </c:tx>
          <c:spPr>
            <a:solidFill>
              <a:srgbClr val="FFFF00"/>
            </a:solidFill>
            <a:ln>
              <a:solidFill>
                <a:schemeClr val="accent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wrap="square" lIns="38100" tIns="19050" rIns="38100" bIns="19050" anchor="ctr">
                <a:spAutoFit/>
              </a:bodyPr>
              <a:lstStyle/>
              <a:p>
                <a:pPr>
                  <a:defRPr sz="1000" b="1"/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31750">
                <a:solidFill>
                  <a:srgbClr val="FF0000"/>
                </a:solidFill>
                <a:prstDash val="sysDash"/>
                <a:bevel/>
              </a:ln>
            </c:spPr>
            <c:trendlineType val="linear"/>
            <c:dispRSqr val="0"/>
            <c:dispEq val="0"/>
          </c:trendline>
          <c:cat>
            <c:numRef>
              <c:f>Vendas!$C$4:$J$4</c:f>
              <c:numCache>
                <c:formatCode>0</c:formatCode>
                <c:ptCount val="8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</c:numCache>
            </c:numRef>
          </c:cat>
          <c:val>
            <c:numRef>
              <c:f>Vendas!$C$18:$J$18</c:f>
              <c:numCache>
                <c:formatCode>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4F-4665-9889-95A105645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914368"/>
        <c:axId val="85915904"/>
      </c:barChart>
      <c:catAx>
        <c:axId val="85914368"/>
        <c:scaling>
          <c:orientation val="minMax"/>
        </c:scaling>
        <c:delete val="0"/>
        <c:axPos val="b"/>
        <c:majorGridlines>
          <c:spPr>
            <a:ln w="9525"/>
          </c:spPr>
        </c:majorGridlines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85915904"/>
        <c:crosses val="autoZero"/>
        <c:auto val="1"/>
        <c:lblAlgn val="ctr"/>
        <c:lblOffset val="100"/>
        <c:noMultiLvlLbl val="0"/>
      </c:catAx>
      <c:valAx>
        <c:axId val="85915904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85914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6820105820105815"/>
          <c:y val="2.8506410520674454E-2"/>
          <c:w val="0.37559534224888558"/>
          <c:h val="9.1908040290775164E-2"/>
        </c:manualLayout>
      </c:layout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8" footer="0.31496062000000008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VENDAS 2016</a:t>
            </a:r>
          </a:p>
        </c:rich>
      </c:tx>
      <c:layout>
        <c:manualLayout>
          <c:xMode val="edge"/>
          <c:yMode val="edge"/>
          <c:x val="0.33598821199981643"/>
          <c:y val="2.588996763754047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917345858083528"/>
          <c:y val="0.16894834747598314"/>
          <c:w val="0.63936455311507145"/>
          <c:h val="0.62081950921183393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FFFF66"/>
              </a:solidFill>
            </a:ln>
          </c:spPr>
          <c:marker>
            <c:symbol val="none"/>
          </c:marker>
          <c:trendline>
            <c:spPr>
              <a:ln w="15875"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strRef>
              <c:f>Vendas!$B$5:$B$16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Vendas!$C$5:$C$16</c:f>
              <c:numCache>
                <c:formatCode>#,##0.00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52-42F2-8176-9252DC34F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178048"/>
        <c:axId val="88188032"/>
      </c:lineChart>
      <c:catAx>
        <c:axId val="881780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88188032"/>
        <c:crosses val="autoZero"/>
        <c:auto val="1"/>
        <c:lblAlgn val="ctr"/>
        <c:lblOffset val="100"/>
        <c:noMultiLvlLbl val="0"/>
      </c:catAx>
      <c:valAx>
        <c:axId val="8818803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8817804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VENDAS 2017</a:t>
            </a:r>
          </a:p>
        </c:rich>
      </c:tx>
      <c:layout>
        <c:manualLayout>
          <c:xMode val="edge"/>
          <c:yMode val="edge"/>
          <c:x val="0.33598821199981688"/>
          <c:y val="2.588996763754048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917345858083528"/>
          <c:y val="0.16894834747598325"/>
          <c:w val="0.63936455311507179"/>
          <c:h val="0.62081950921183393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FFFF00"/>
              </a:solidFill>
            </a:ln>
          </c:spPr>
          <c:marker>
            <c:symbol val="none"/>
          </c:marker>
          <c:trendline>
            <c:spPr>
              <a:ln w="15875"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strRef>
              <c:f>Vendas!$B$5:$B$16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Vendas!$D$5:$D$16</c:f>
              <c:numCache>
                <c:formatCode>#,##0.00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2-4867-9E4A-CDF36D4D3E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69376"/>
        <c:axId val="89270912"/>
      </c:lineChart>
      <c:catAx>
        <c:axId val="89269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89270912"/>
        <c:crosses val="autoZero"/>
        <c:auto val="1"/>
        <c:lblAlgn val="ctr"/>
        <c:lblOffset val="100"/>
        <c:noMultiLvlLbl val="0"/>
      </c:catAx>
      <c:valAx>
        <c:axId val="8927091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89269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41" footer="0.3149606200000004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VENDAS 2018</a:t>
            </a:r>
          </a:p>
        </c:rich>
      </c:tx>
      <c:layout>
        <c:manualLayout>
          <c:xMode val="edge"/>
          <c:yMode val="edge"/>
          <c:x val="0.33598821199981727"/>
          <c:y val="2.588996763754049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917345858083528"/>
          <c:y val="0.16894834747598336"/>
          <c:w val="0.63936455311507201"/>
          <c:h val="0.62081950921183393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FFFF00"/>
              </a:solidFill>
            </a:ln>
          </c:spPr>
          <c:marker>
            <c:symbol val="none"/>
          </c:marker>
          <c:trendline>
            <c:spPr>
              <a:ln w="15875"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strRef>
              <c:f>Vendas!$B$5:$B$16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Vendas!$E$5:$E$16</c:f>
              <c:numCache>
                <c:formatCode>#,##0.00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CB-45B0-B365-DC1195D86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99584"/>
        <c:axId val="89317760"/>
      </c:lineChart>
      <c:catAx>
        <c:axId val="89299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89317760"/>
        <c:crosses val="autoZero"/>
        <c:auto val="1"/>
        <c:lblAlgn val="ctr"/>
        <c:lblOffset val="100"/>
        <c:noMultiLvlLbl val="0"/>
      </c:catAx>
      <c:valAx>
        <c:axId val="89317760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89299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VENDAS 2019</a:t>
            </a:r>
          </a:p>
        </c:rich>
      </c:tx>
      <c:layout>
        <c:manualLayout>
          <c:xMode val="edge"/>
          <c:yMode val="edge"/>
          <c:x val="0.33598821199981727"/>
          <c:y val="2.588996763754049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917345858083528"/>
          <c:y val="0.16894834747598336"/>
          <c:w val="0.63936455311507201"/>
          <c:h val="0.62081950921183393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FFFF00"/>
              </a:solidFill>
            </a:ln>
          </c:spPr>
          <c:marker>
            <c:symbol val="none"/>
          </c:marker>
          <c:trendline>
            <c:spPr>
              <a:ln w="15875"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strRef>
              <c:f>Vendas!$B$5:$B$16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Vendas!$F$5:$F$16</c:f>
              <c:numCache>
                <c:formatCode>#,##0.00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B9-4FDF-BB0A-FAB887967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46976"/>
        <c:axId val="91248512"/>
      </c:lineChart>
      <c:catAx>
        <c:axId val="91246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91248512"/>
        <c:crosses val="autoZero"/>
        <c:auto val="1"/>
        <c:lblAlgn val="ctr"/>
        <c:lblOffset val="100"/>
        <c:noMultiLvlLbl val="0"/>
      </c:catAx>
      <c:valAx>
        <c:axId val="9124851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91246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VENDAS 2020</a:t>
            </a:r>
          </a:p>
        </c:rich>
      </c:tx>
      <c:layout>
        <c:manualLayout>
          <c:xMode val="edge"/>
          <c:yMode val="edge"/>
          <c:x val="0.33598821199981727"/>
          <c:y val="2.588996763754049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917345858083528"/>
          <c:y val="0.16894834747598336"/>
          <c:w val="0.63936455311507201"/>
          <c:h val="0.62081950921183393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FFFF00"/>
              </a:solidFill>
            </a:ln>
          </c:spPr>
          <c:marker>
            <c:symbol val="none"/>
          </c:marker>
          <c:trendline>
            <c:spPr>
              <a:ln w="15875"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cat>
            <c:strRef>
              <c:f>Vendas!$B$5:$B$16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Vendas!$G$5:$G$16</c:f>
              <c:numCache>
                <c:formatCode>#,##0.00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07-46B2-8179-18BE6DC31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85376"/>
        <c:axId val="91286912"/>
      </c:lineChart>
      <c:catAx>
        <c:axId val="91285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91286912"/>
        <c:crosses val="autoZero"/>
        <c:auto val="1"/>
        <c:lblAlgn val="ctr"/>
        <c:lblOffset val="100"/>
        <c:noMultiLvlLbl val="0"/>
      </c:catAx>
      <c:valAx>
        <c:axId val="9128691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91285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VENDAS TOTAIS 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591288926721998E-2"/>
          <c:y val="0.19480351414406533"/>
          <c:w val="0.90553341710337254"/>
          <c:h val="0.65482210557013709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trendline>
            <c:spPr>
              <a:ln w="28575" cap="rnd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trendlineType val="linear"/>
            <c:dispRSqr val="0"/>
            <c:dispEq val="0"/>
          </c:trendline>
          <c:val>
            <c:numRef>
              <c:f>Vendas!$C$20:$I$20</c:f>
              <c:numCache>
                <c:formatCode>#,##0.00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93-425F-B62A-CD1F11F4C6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6395776"/>
        <c:axId val="46397312"/>
      </c:lineChart>
      <c:catAx>
        <c:axId val="46395776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397312"/>
        <c:crosses val="autoZero"/>
        <c:auto val="1"/>
        <c:lblAlgn val="ctr"/>
        <c:lblOffset val="100"/>
        <c:noMultiLvlLbl val="0"/>
      </c:catAx>
      <c:valAx>
        <c:axId val="46397312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639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7284166844009363"/>
          <c:y val="4.310185185185185E-2"/>
          <c:w val="0.1349423545430694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VENDAS 2021</a:t>
            </a:r>
          </a:p>
        </c:rich>
      </c:tx>
      <c:layout>
        <c:manualLayout>
          <c:xMode val="edge"/>
          <c:yMode val="edge"/>
          <c:x val="0.33598821199981727"/>
          <c:y val="2.588996763754049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917345858083528"/>
          <c:y val="0.16894834747598336"/>
          <c:w val="0.63936455311507201"/>
          <c:h val="0.62081950921183393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FFFF00"/>
              </a:solidFill>
            </a:ln>
          </c:spPr>
          <c:marker>
            <c:symbol val="none"/>
          </c:marker>
          <c:trendline>
            <c:spPr>
              <a:ln w="15875"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val>
            <c:numRef>
              <c:f>Vendas!$H$5:$H$16</c:f>
              <c:numCache>
                <c:formatCode>#,##0.00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E5-4836-9866-293892245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85376"/>
        <c:axId val="91286912"/>
      </c:lineChart>
      <c:catAx>
        <c:axId val="91285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91286912"/>
        <c:crosses val="autoZero"/>
        <c:auto val="1"/>
        <c:lblAlgn val="ctr"/>
        <c:lblOffset val="100"/>
        <c:noMultiLvlLbl val="0"/>
      </c:catAx>
      <c:valAx>
        <c:axId val="9128691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91285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VENDAS 2022</a:t>
            </a:r>
          </a:p>
        </c:rich>
      </c:tx>
      <c:layout>
        <c:manualLayout>
          <c:xMode val="edge"/>
          <c:yMode val="edge"/>
          <c:x val="0.33598821199981727"/>
          <c:y val="2.588996763754049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917345858083528"/>
          <c:y val="0.16894834747598336"/>
          <c:w val="0.63936455311507201"/>
          <c:h val="0.6208195092118339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FFFF00"/>
              </a:solidFill>
            </a:ln>
          </c:spPr>
          <c:marker>
            <c:symbol val="none"/>
          </c:marker>
          <c:trendline>
            <c:spPr>
              <a:ln w="15875"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val>
            <c:numRef>
              <c:f>Vendas!$I$5:$I$16</c:f>
              <c:numCache>
                <c:formatCode>#,##0.00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DE-4028-B067-84C88FE0A9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85376"/>
        <c:axId val="91286912"/>
      </c:lineChart>
      <c:catAx>
        <c:axId val="91285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91286912"/>
        <c:crosses val="autoZero"/>
        <c:auto val="1"/>
        <c:lblAlgn val="ctr"/>
        <c:lblOffset val="100"/>
        <c:noMultiLvlLbl val="0"/>
      </c:catAx>
      <c:valAx>
        <c:axId val="9128691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91285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VENDAS 2023</a:t>
            </a:r>
          </a:p>
        </c:rich>
      </c:tx>
      <c:layout>
        <c:manualLayout>
          <c:xMode val="edge"/>
          <c:yMode val="edge"/>
          <c:x val="0.33598821199981727"/>
          <c:y val="2.588996763754049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0917345858083528"/>
          <c:y val="0.16894834747598336"/>
          <c:w val="0.63936455311507201"/>
          <c:h val="0.62081950921183393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rgbClr val="FFFF00"/>
              </a:solidFill>
            </a:ln>
          </c:spPr>
          <c:marker>
            <c:symbol val="none"/>
          </c:marker>
          <c:trendline>
            <c:spPr>
              <a:ln w="12700">
                <a:solidFill>
                  <a:srgbClr val="FF0000"/>
                </a:solidFill>
                <a:prstDash val="sysDash"/>
              </a:ln>
            </c:spPr>
            <c:trendlineType val="linear"/>
            <c:dispRSqr val="0"/>
            <c:dispEq val="0"/>
          </c:trendline>
          <c:val>
            <c:numRef>
              <c:f>Vendas!$J$4:$J$17</c:f>
              <c:numCache>
                <c:formatCode>#,##0.00</c:formatCode>
                <c:ptCount val="14"/>
                <c:pt idx="0" formatCode="0">
                  <c:v>2027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9A-4C4C-92AE-E4B3745ED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285376"/>
        <c:axId val="91286912"/>
      </c:lineChart>
      <c:catAx>
        <c:axId val="91285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91286912"/>
        <c:crosses val="autoZero"/>
        <c:auto val="1"/>
        <c:lblAlgn val="ctr"/>
        <c:lblOffset val="100"/>
        <c:noMultiLvlLbl val="0"/>
      </c:catAx>
      <c:valAx>
        <c:axId val="912869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pt-BR"/>
          </a:p>
        </c:txPr>
        <c:crossAx val="912853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52" footer="0.3149606200000005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0</xdr:row>
      <xdr:rowOff>114300</xdr:rowOff>
    </xdr:from>
    <xdr:to>
      <xdr:col>21</xdr:col>
      <xdr:colOff>590550</xdr:colOff>
      <xdr:row>20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133348</xdr:colOff>
      <xdr:row>21</xdr:row>
      <xdr:rowOff>0</xdr:rowOff>
    </xdr:from>
    <xdr:to>
      <xdr:col>4</xdr:col>
      <xdr:colOff>639673</xdr:colOff>
      <xdr:row>30</xdr:row>
      <xdr:rowOff>85500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828675</xdr:colOff>
      <xdr:row>21</xdr:row>
      <xdr:rowOff>7620</xdr:rowOff>
    </xdr:from>
    <xdr:to>
      <xdr:col>8</xdr:col>
      <xdr:colOff>746760</xdr:colOff>
      <xdr:row>30</xdr:row>
      <xdr:rowOff>93120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81915</xdr:colOff>
      <xdr:row>21</xdr:row>
      <xdr:rowOff>9525</xdr:rowOff>
    </xdr:from>
    <xdr:to>
      <xdr:col>13</xdr:col>
      <xdr:colOff>259080</xdr:colOff>
      <xdr:row>30</xdr:row>
      <xdr:rowOff>95025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512445</xdr:colOff>
      <xdr:row>21</xdr:row>
      <xdr:rowOff>3810</xdr:rowOff>
    </xdr:from>
    <xdr:to>
      <xdr:col>18</xdr:col>
      <xdr:colOff>144375</xdr:colOff>
      <xdr:row>30</xdr:row>
      <xdr:rowOff>89310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9526</xdr:colOff>
      <xdr:row>31</xdr:row>
      <xdr:rowOff>171450</xdr:rowOff>
    </xdr:from>
    <xdr:to>
      <xdr:col>4</xdr:col>
      <xdr:colOff>649201</xdr:colOff>
      <xdr:row>41</xdr:row>
      <xdr:rowOff>66450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9526</xdr:colOff>
      <xdr:row>43</xdr:row>
      <xdr:rowOff>0</xdr:rowOff>
    </xdr:from>
    <xdr:to>
      <xdr:col>21</xdr:col>
      <xdr:colOff>590550</xdr:colOff>
      <xdr:row>57</xdr:row>
      <xdr:rowOff>76200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1905</xdr:colOff>
      <xdr:row>31</xdr:row>
      <xdr:rowOff>163830</xdr:rowOff>
    </xdr:from>
    <xdr:to>
      <xdr:col>8</xdr:col>
      <xdr:colOff>731520</xdr:colOff>
      <xdr:row>41</xdr:row>
      <xdr:rowOff>68580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57150</xdr:colOff>
      <xdr:row>31</xdr:row>
      <xdr:rowOff>173355</xdr:rowOff>
    </xdr:from>
    <xdr:to>
      <xdr:col>13</xdr:col>
      <xdr:colOff>289560</xdr:colOff>
      <xdr:row>41</xdr:row>
      <xdr:rowOff>68355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514350</xdr:colOff>
      <xdr:row>32</xdr:row>
      <xdr:rowOff>11430</xdr:rowOff>
    </xdr:from>
    <xdr:to>
      <xdr:col>18</xdr:col>
      <xdr:colOff>146280</xdr:colOff>
      <xdr:row>41</xdr:row>
      <xdr:rowOff>89310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Q25"/>
  <sheetViews>
    <sheetView showGridLines="0" zoomScaleNormal="100" workbookViewId="0">
      <selection activeCell="C2" sqref="C2:L2"/>
    </sheetView>
  </sheetViews>
  <sheetFormatPr defaultColWidth="8.88671875" defaultRowHeight="14.4" x14ac:dyDescent="0.3"/>
  <cols>
    <col min="1" max="1" width="2" style="170" customWidth="1"/>
    <col min="2" max="2" width="13.88671875" style="168" customWidth="1"/>
    <col min="3" max="10" width="12.5546875" style="169" customWidth="1"/>
    <col min="11" max="11" width="1.33203125" style="169" customWidth="1"/>
    <col min="12" max="12" width="15.6640625" style="169" customWidth="1"/>
    <col min="13" max="13" width="12.5546875" style="169" customWidth="1"/>
    <col min="14" max="15" width="13.109375" style="169" customWidth="1"/>
    <col min="16" max="16" width="2.33203125" style="169" customWidth="1"/>
    <col min="17" max="17" width="15.88671875" style="169" customWidth="1"/>
    <col min="18" max="18" width="8.88671875" style="170"/>
    <col min="19" max="19" width="10.109375" style="170" bestFit="1" customWidth="1"/>
    <col min="20" max="16384" width="8.88671875" style="170"/>
  </cols>
  <sheetData>
    <row r="1" spans="2:17" ht="9.75" customHeight="1" thickBot="1" x14ac:dyDescent="0.35"/>
    <row r="2" spans="2:17" ht="37.200000000000003" thickBot="1" x14ac:dyDescent="0.75">
      <c r="C2" s="230" t="s">
        <v>88</v>
      </c>
      <c r="D2" s="231"/>
      <c r="E2" s="231"/>
      <c r="F2" s="231"/>
      <c r="G2" s="231"/>
      <c r="H2" s="231"/>
      <c r="I2" s="231"/>
      <c r="J2" s="231"/>
      <c r="K2" s="231"/>
      <c r="L2" s="232"/>
      <c r="M2" s="170"/>
      <c r="N2" s="170"/>
      <c r="O2" s="170"/>
      <c r="P2" s="170"/>
      <c r="Q2" s="170"/>
    </row>
    <row r="3" spans="2:17" ht="5.25" customHeight="1" thickBot="1" x14ac:dyDescent="0.35"/>
    <row r="4" spans="2:17" s="175" customFormat="1" ht="15" thickBot="1" x14ac:dyDescent="0.35">
      <c r="B4" s="168"/>
      <c r="C4" s="171">
        <v>2020</v>
      </c>
      <c r="D4" s="172">
        <v>2021</v>
      </c>
      <c r="E4" s="171">
        <v>2022</v>
      </c>
      <c r="F4" s="172">
        <v>2023</v>
      </c>
      <c r="G4" s="171">
        <v>2024</v>
      </c>
      <c r="H4" s="172">
        <v>2025</v>
      </c>
      <c r="I4" s="171">
        <v>2026</v>
      </c>
      <c r="J4" s="172">
        <v>2027</v>
      </c>
      <c r="K4" s="173"/>
      <c r="L4" s="174" t="s">
        <v>134</v>
      </c>
    </row>
    <row r="5" spans="2:17" x14ac:dyDescent="0.3">
      <c r="B5" s="176" t="s">
        <v>0</v>
      </c>
      <c r="C5" s="194"/>
      <c r="D5" s="195"/>
      <c r="E5" s="195"/>
      <c r="F5" s="196"/>
      <c r="G5" s="196"/>
      <c r="H5" s="196"/>
      <c r="I5" s="196"/>
      <c r="J5" s="196"/>
      <c r="K5" s="177"/>
      <c r="L5" s="178" t="e">
        <f t="shared" ref="L5:L16" si="0">AVERAGE(C5:J5)</f>
        <v>#DIV/0!</v>
      </c>
      <c r="M5" s="170"/>
      <c r="N5" s="170"/>
      <c r="O5" s="170"/>
      <c r="P5" s="170"/>
      <c r="Q5" s="170"/>
    </row>
    <row r="6" spans="2:17" x14ac:dyDescent="0.3">
      <c r="B6" s="179" t="s">
        <v>1</v>
      </c>
      <c r="C6" s="197"/>
      <c r="D6" s="198"/>
      <c r="E6" s="198"/>
      <c r="F6" s="199"/>
      <c r="G6" s="199"/>
      <c r="H6" s="199"/>
      <c r="I6" s="199"/>
      <c r="J6" s="199"/>
      <c r="K6" s="177"/>
      <c r="L6" s="178" t="e">
        <f t="shared" si="0"/>
        <v>#DIV/0!</v>
      </c>
      <c r="M6" s="170"/>
      <c r="N6" s="170"/>
      <c r="O6" s="170"/>
      <c r="P6" s="170"/>
      <c r="Q6" s="170"/>
    </row>
    <row r="7" spans="2:17" x14ac:dyDescent="0.3">
      <c r="B7" s="179" t="s">
        <v>2</v>
      </c>
      <c r="C7" s="197"/>
      <c r="D7" s="198"/>
      <c r="E7" s="198"/>
      <c r="F7" s="199"/>
      <c r="G7" s="199"/>
      <c r="H7" s="199"/>
      <c r="I7" s="199"/>
      <c r="J7" s="199"/>
      <c r="K7" s="177"/>
      <c r="L7" s="178" t="e">
        <f t="shared" si="0"/>
        <v>#DIV/0!</v>
      </c>
      <c r="M7" s="170"/>
      <c r="N7" s="170"/>
      <c r="O7" s="170"/>
      <c r="P7" s="170"/>
      <c r="Q7" s="170"/>
    </row>
    <row r="8" spans="2:17" x14ac:dyDescent="0.3">
      <c r="B8" s="179" t="s">
        <v>3</v>
      </c>
      <c r="C8" s="197"/>
      <c r="D8" s="198"/>
      <c r="E8" s="198"/>
      <c r="F8" s="199"/>
      <c r="G8" s="199"/>
      <c r="H8" s="199"/>
      <c r="I8" s="199"/>
      <c r="J8" s="199"/>
      <c r="K8" s="177"/>
      <c r="L8" s="178" t="e">
        <f t="shared" si="0"/>
        <v>#DIV/0!</v>
      </c>
      <c r="M8" s="170"/>
      <c r="N8" s="170"/>
      <c r="O8" s="170"/>
      <c r="P8" s="170"/>
      <c r="Q8" s="170"/>
    </row>
    <row r="9" spans="2:17" x14ac:dyDescent="0.3">
      <c r="B9" s="179" t="s">
        <v>4</v>
      </c>
      <c r="C9" s="197"/>
      <c r="D9" s="198"/>
      <c r="E9" s="198"/>
      <c r="F9" s="199"/>
      <c r="G9" s="199"/>
      <c r="H9" s="199"/>
      <c r="I9" s="199"/>
      <c r="J9" s="199"/>
      <c r="K9" s="177"/>
      <c r="L9" s="178" t="e">
        <f t="shared" si="0"/>
        <v>#DIV/0!</v>
      </c>
      <c r="M9" s="170"/>
      <c r="N9" s="170"/>
      <c r="O9" s="170"/>
      <c r="P9" s="170"/>
      <c r="Q9" s="170"/>
    </row>
    <row r="10" spans="2:17" x14ac:dyDescent="0.3">
      <c r="B10" s="179" t="s">
        <v>5</v>
      </c>
      <c r="C10" s="197"/>
      <c r="D10" s="198"/>
      <c r="E10" s="198"/>
      <c r="F10" s="199"/>
      <c r="G10" s="199"/>
      <c r="H10" s="199"/>
      <c r="I10" s="199"/>
      <c r="J10" s="199"/>
      <c r="K10" s="177"/>
      <c r="L10" s="178" t="e">
        <f t="shared" si="0"/>
        <v>#DIV/0!</v>
      </c>
      <c r="M10" s="170"/>
      <c r="N10" s="170"/>
      <c r="O10" s="170"/>
      <c r="P10" s="170"/>
      <c r="Q10" s="170"/>
    </row>
    <row r="11" spans="2:17" x14ac:dyDescent="0.3">
      <c r="B11" s="179" t="s">
        <v>6</v>
      </c>
      <c r="C11" s="197"/>
      <c r="D11" s="198"/>
      <c r="E11" s="198"/>
      <c r="F11" s="199"/>
      <c r="G11" s="199"/>
      <c r="H11" s="199"/>
      <c r="I11" s="199"/>
      <c r="J11" s="199"/>
      <c r="K11" s="177"/>
      <c r="L11" s="178" t="e">
        <f t="shared" si="0"/>
        <v>#DIV/0!</v>
      </c>
      <c r="M11" s="170"/>
      <c r="N11" s="170"/>
      <c r="O11" s="170"/>
      <c r="P11" s="170"/>
      <c r="Q11" s="170"/>
    </row>
    <row r="12" spans="2:17" x14ac:dyDescent="0.3">
      <c r="B12" s="179" t="s">
        <v>7</v>
      </c>
      <c r="C12" s="197"/>
      <c r="D12" s="198"/>
      <c r="E12" s="198"/>
      <c r="F12" s="199"/>
      <c r="G12" s="199"/>
      <c r="H12" s="199"/>
      <c r="I12" s="199"/>
      <c r="J12" s="199"/>
      <c r="K12" s="177"/>
      <c r="L12" s="178" t="e">
        <f t="shared" si="0"/>
        <v>#DIV/0!</v>
      </c>
      <c r="M12" s="170"/>
      <c r="N12" s="170"/>
      <c r="O12" s="170"/>
      <c r="P12" s="170"/>
      <c r="Q12" s="170"/>
    </row>
    <row r="13" spans="2:17" x14ac:dyDescent="0.3">
      <c r="B13" s="179" t="s">
        <v>8</v>
      </c>
      <c r="C13" s="197"/>
      <c r="D13" s="198"/>
      <c r="E13" s="198"/>
      <c r="F13" s="199"/>
      <c r="G13" s="199"/>
      <c r="H13" s="199"/>
      <c r="I13" s="199"/>
      <c r="J13" s="199"/>
      <c r="K13" s="177"/>
      <c r="L13" s="178" t="e">
        <f t="shared" si="0"/>
        <v>#DIV/0!</v>
      </c>
      <c r="M13" s="170"/>
      <c r="N13" s="170"/>
      <c r="O13" s="170"/>
      <c r="P13" s="170"/>
      <c r="Q13" s="170"/>
    </row>
    <row r="14" spans="2:17" x14ac:dyDescent="0.3">
      <c r="B14" s="179" t="s">
        <v>9</v>
      </c>
      <c r="C14" s="197"/>
      <c r="D14" s="198"/>
      <c r="E14" s="198"/>
      <c r="F14" s="199"/>
      <c r="G14" s="199"/>
      <c r="H14" s="199"/>
      <c r="I14" s="199"/>
      <c r="J14" s="199"/>
      <c r="K14" s="177"/>
      <c r="L14" s="178" t="e">
        <f t="shared" si="0"/>
        <v>#DIV/0!</v>
      </c>
      <c r="M14" s="170"/>
      <c r="N14" s="170"/>
      <c r="O14" s="170"/>
      <c r="P14" s="170"/>
      <c r="Q14" s="170"/>
    </row>
    <row r="15" spans="2:17" x14ac:dyDescent="0.3">
      <c r="B15" s="179" t="s">
        <v>10</v>
      </c>
      <c r="C15" s="197"/>
      <c r="D15" s="198"/>
      <c r="E15" s="198"/>
      <c r="F15" s="199"/>
      <c r="G15" s="199"/>
      <c r="H15" s="199"/>
      <c r="I15" s="199"/>
      <c r="J15" s="199"/>
      <c r="K15" s="177"/>
      <c r="L15" s="178" t="e">
        <f t="shared" si="0"/>
        <v>#DIV/0!</v>
      </c>
      <c r="M15" s="170"/>
      <c r="N15" s="170"/>
      <c r="O15" s="170"/>
      <c r="P15" s="170"/>
      <c r="Q15" s="170"/>
    </row>
    <row r="16" spans="2:17" ht="15" thickBot="1" x14ac:dyDescent="0.35">
      <c r="B16" s="180" t="s">
        <v>11</v>
      </c>
      <c r="C16" s="200"/>
      <c r="D16" s="201"/>
      <c r="E16" s="201"/>
      <c r="F16" s="202"/>
      <c r="G16" s="202"/>
      <c r="H16" s="202"/>
      <c r="I16" s="202"/>
      <c r="J16" s="202"/>
      <c r="K16" s="181"/>
      <c r="L16" s="178" t="e">
        <f t="shared" si="0"/>
        <v>#DIV/0!</v>
      </c>
      <c r="M16" s="170"/>
      <c r="N16" s="170"/>
      <c r="O16" s="170"/>
      <c r="P16" s="170"/>
      <c r="Q16" s="170"/>
    </row>
    <row r="17" spans="2:17" ht="6.75" customHeight="1" thickBot="1" x14ac:dyDescent="0.35">
      <c r="M17" s="170"/>
      <c r="N17" s="170"/>
      <c r="O17" s="170"/>
      <c r="P17" s="170"/>
      <c r="Q17" s="170"/>
    </row>
    <row r="18" spans="2:17" ht="15" thickBot="1" x14ac:dyDescent="0.35">
      <c r="B18" s="182" t="s">
        <v>133</v>
      </c>
      <c r="C18" s="183" t="e">
        <f t="shared" ref="C18:I18" si="1">AVERAGE(C5:C16)</f>
        <v>#DIV/0!</v>
      </c>
      <c r="D18" s="183" t="e">
        <f t="shared" si="1"/>
        <v>#DIV/0!</v>
      </c>
      <c r="E18" s="183" t="e">
        <f t="shared" si="1"/>
        <v>#DIV/0!</v>
      </c>
      <c r="F18" s="183" t="e">
        <f t="shared" si="1"/>
        <v>#DIV/0!</v>
      </c>
      <c r="G18" s="184" t="e">
        <f t="shared" si="1"/>
        <v>#DIV/0!</v>
      </c>
      <c r="H18" s="184" t="e">
        <f t="shared" ref="H18" si="2">AVERAGE(H5:H16)</f>
        <v>#DIV/0!</v>
      </c>
      <c r="I18" s="184" t="e">
        <f t="shared" si="1"/>
        <v>#DIV/0!</v>
      </c>
      <c r="J18" s="184" t="e">
        <f t="shared" ref="J18" si="3">AVERAGE(J5:J16)</f>
        <v>#DIV/0!</v>
      </c>
      <c r="K18" s="181"/>
      <c r="L18" s="185" t="e">
        <f>AVERAGE(C18:J18)</f>
        <v>#DIV/0!</v>
      </c>
      <c r="M18" s="170"/>
      <c r="N18" s="170"/>
      <c r="O18" s="170"/>
      <c r="P18" s="170"/>
      <c r="Q18" s="170"/>
    </row>
    <row r="19" spans="2:17" ht="6.75" customHeight="1" thickBot="1" x14ac:dyDescent="0.35">
      <c r="M19" s="170"/>
      <c r="N19" s="170"/>
      <c r="O19" s="170"/>
      <c r="P19" s="170"/>
      <c r="Q19" s="170"/>
    </row>
    <row r="20" spans="2:17" s="175" customFormat="1" ht="15" thickBot="1" x14ac:dyDescent="0.35">
      <c r="B20" s="186" t="s">
        <v>132</v>
      </c>
      <c r="C20" s="187">
        <f t="shared" ref="C20:I20" si="4">SUM(C5:C16)</f>
        <v>0</v>
      </c>
      <c r="D20" s="188">
        <f t="shared" si="4"/>
        <v>0</v>
      </c>
      <c r="E20" s="188">
        <f t="shared" si="4"/>
        <v>0</v>
      </c>
      <c r="F20" s="188">
        <f t="shared" si="4"/>
        <v>0</v>
      </c>
      <c r="G20" s="189">
        <f t="shared" si="4"/>
        <v>0</v>
      </c>
      <c r="H20" s="189">
        <f t="shared" ref="H20" si="5">SUM(H5:H16)</f>
        <v>0</v>
      </c>
      <c r="I20" s="189">
        <f t="shared" si="4"/>
        <v>0</v>
      </c>
      <c r="J20" s="189">
        <f t="shared" ref="J20" si="6">SUM(J5:J16)</f>
        <v>0</v>
      </c>
      <c r="K20" s="190"/>
      <c r="L20" s="191">
        <f>AVERAGE(C20:J20)</f>
        <v>0</v>
      </c>
    </row>
    <row r="21" spans="2:17" s="175" customFormat="1" x14ac:dyDescent="0.3">
      <c r="B21" s="168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0"/>
      <c r="Q21" s="190"/>
    </row>
    <row r="25" spans="2:17" x14ac:dyDescent="0.3">
      <c r="N25" s="193"/>
      <c r="O25" s="193"/>
    </row>
  </sheetData>
  <sheetProtection algorithmName="SHA-512" hashValue="N3KrdK67aLrNNUss9EH1IVt5pA7oCI9IfpQ79OlEikv4TMzwcNmLAXY774OBYYSSU6dIbvJ8Z1JzK1AcdxZLfg==" saltValue="gBDjCEyXaW5hOQJxb1SYhg==" spinCount="100000" sheet="1" objects="1" scenarios="1"/>
  <mergeCells count="1">
    <mergeCell ref="C2:L2"/>
  </mergeCells>
  <printOptions horizontalCentered="1"/>
  <pageMargins left="0.25" right="0.25" top="0.75" bottom="0.75" header="0.3" footer="0.3"/>
  <pageSetup paperSize="9" scale="58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showGridLines="0" workbookViewId="0">
      <selection activeCell="E23" sqref="E23:F23"/>
    </sheetView>
  </sheetViews>
  <sheetFormatPr defaultRowHeight="12.6" x14ac:dyDescent="0.2"/>
  <cols>
    <col min="1" max="1" width="1.88671875" style="83" customWidth="1"/>
    <col min="2" max="2" width="5.33203125" style="83" customWidth="1"/>
    <col min="3" max="3" width="13.6640625" style="83" customWidth="1"/>
    <col min="4" max="4" width="21.33203125" style="83" customWidth="1"/>
    <col min="5" max="6" width="14.44140625" style="83" customWidth="1"/>
    <col min="7" max="7" width="5.33203125" style="83" customWidth="1"/>
    <col min="8" max="8" width="9.109375" style="83"/>
    <col min="9" max="9" width="12" style="83" customWidth="1"/>
    <col min="10" max="11" width="9.109375" style="83"/>
    <col min="12" max="12" width="13.44140625" style="83" customWidth="1"/>
    <col min="13" max="13" width="1.5546875" style="83" customWidth="1"/>
    <col min="14" max="256" width="9.109375" style="83"/>
    <col min="257" max="257" width="1.88671875" style="83" customWidth="1"/>
    <col min="258" max="258" width="5.33203125" style="83" customWidth="1"/>
    <col min="259" max="259" width="13.6640625" style="83" customWidth="1"/>
    <col min="260" max="260" width="19" style="83" customWidth="1"/>
    <col min="261" max="262" width="14.44140625" style="83" customWidth="1"/>
    <col min="263" max="263" width="5.33203125" style="83" customWidth="1"/>
    <col min="264" max="264" width="9.109375" style="83"/>
    <col min="265" max="265" width="12" style="83" customWidth="1"/>
    <col min="266" max="267" width="9.109375" style="83"/>
    <col min="268" max="268" width="11.44140625" style="83" bestFit="1" customWidth="1"/>
    <col min="269" max="269" width="1.5546875" style="83" customWidth="1"/>
    <col min="270" max="512" width="9.109375" style="83"/>
    <col min="513" max="513" width="1.88671875" style="83" customWidth="1"/>
    <col min="514" max="514" width="5.33203125" style="83" customWidth="1"/>
    <col min="515" max="515" width="13.6640625" style="83" customWidth="1"/>
    <col min="516" max="516" width="19" style="83" customWidth="1"/>
    <col min="517" max="518" width="14.44140625" style="83" customWidth="1"/>
    <col min="519" max="519" width="5.33203125" style="83" customWidth="1"/>
    <col min="520" max="520" width="9.109375" style="83"/>
    <col min="521" max="521" width="12" style="83" customWidth="1"/>
    <col min="522" max="523" width="9.109375" style="83"/>
    <col min="524" max="524" width="11.44140625" style="83" bestFit="1" customWidth="1"/>
    <col min="525" max="525" width="1.5546875" style="83" customWidth="1"/>
    <col min="526" max="768" width="9.109375" style="83"/>
    <col min="769" max="769" width="1.88671875" style="83" customWidth="1"/>
    <col min="770" max="770" width="5.33203125" style="83" customWidth="1"/>
    <col min="771" max="771" width="13.6640625" style="83" customWidth="1"/>
    <col min="772" max="772" width="19" style="83" customWidth="1"/>
    <col min="773" max="774" width="14.44140625" style="83" customWidth="1"/>
    <col min="775" max="775" width="5.33203125" style="83" customWidth="1"/>
    <col min="776" max="776" width="9.109375" style="83"/>
    <col min="777" max="777" width="12" style="83" customWidth="1"/>
    <col min="778" max="779" width="9.109375" style="83"/>
    <col min="780" max="780" width="11.44140625" style="83" bestFit="1" customWidth="1"/>
    <col min="781" max="781" width="1.5546875" style="83" customWidth="1"/>
    <col min="782" max="1024" width="9.109375" style="83"/>
    <col min="1025" max="1025" width="1.88671875" style="83" customWidth="1"/>
    <col min="1026" max="1026" width="5.33203125" style="83" customWidth="1"/>
    <col min="1027" max="1027" width="13.6640625" style="83" customWidth="1"/>
    <col min="1028" max="1028" width="19" style="83" customWidth="1"/>
    <col min="1029" max="1030" width="14.44140625" style="83" customWidth="1"/>
    <col min="1031" max="1031" width="5.33203125" style="83" customWidth="1"/>
    <col min="1032" max="1032" width="9.109375" style="83"/>
    <col min="1033" max="1033" width="12" style="83" customWidth="1"/>
    <col min="1034" max="1035" width="9.109375" style="83"/>
    <col min="1036" max="1036" width="11.44140625" style="83" bestFit="1" customWidth="1"/>
    <col min="1037" max="1037" width="1.5546875" style="83" customWidth="1"/>
    <col min="1038" max="1280" width="9.109375" style="83"/>
    <col min="1281" max="1281" width="1.88671875" style="83" customWidth="1"/>
    <col min="1282" max="1282" width="5.33203125" style="83" customWidth="1"/>
    <col min="1283" max="1283" width="13.6640625" style="83" customWidth="1"/>
    <col min="1284" max="1284" width="19" style="83" customWidth="1"/>
    <col min="1285" max="1286" width="14.44140625" style="83" customWidth="1"/>
    <col min="1287" max="1287" width="5.33203125" style="83" customWidth="1"/>
    <col min="1288" max="1288" width="9.109375" style="83"/>
    <col min="1289" max="1289" width="12" style="83" customWidth="1"/>
    <col min="1290" max="1291" width="9.109375" style="83"/>
    <col min="1292" max="1292" width="11.44140625" style="83" bestFit="1" customWidth="1"/>
    <col min="1293" max="1293" width="1.5546875" style="83" customWidth="1"/>
    <col min="1294" max="1536" width="9.109375" style="83"/>
    <col min="1537" max="1537" width="1.88671875" style="83" customWidth="1"/>
    <col min="1538" max="1538" width="5.33203125" style="83" customWidth="1"/>
    <col min="1539" max="1539" width="13.6640625" style="83" customWidth="1"/>
    <col min="1540" max="1540" width="19" style="83" customWidth="1"/>
    <col min="1541" max="1542" width="14.44140625" style="83" customWidth="1"/>
    <col min="1543" max="1543" width="5.33203125" style="83" customWidth="1"/>
    <col min="1544" max="1544" width="9.109375" style="83"/>
    <col min="1545" max="1545" width="12" style="83" customWidth="1"/>
    <col min="1546" max="1547" width="9.109375" style="83"/>
    <col min="1548" max="1548" width="11.44140625" style="83" bestFit="1" customWidth="1"/>
    <col min="1549" max="1549" width="1.5546875" style="83" customWidth="1"/>
    <col min="1550" max="1792" width="9.109375" style="83"/>
    <col min="1793" max="1793" width="1.88671875" style="83" customWidth="1"/>
    <col min="1794" max="1794" width="5.33203125" style="83" customWidth="1"/>
    <col min="1795" max="1795" width="13.6640625" style="83" customWidth="1"/>
    <col min="1796" max="1796" width="19" style="83" customWidth="1"/>
    <col min="1797" max="1798" width="14.44140625" style="83" customWidth="1"/>
    <col min="1799" max="1799" width="5.33203125" style="83" customWidth="1"/>
    <col min="1800" max="1800" width="9.109375" style="83"/>
    <col min="1801" max="1801" width="12" style="83" customWidth="1"/>
    <col min="1802" max="1803" width="9.109375" style="83"/>
    <col min="1804" max="1804" width="11.44140625" style="83" bestFit="1" customWidth="1"/>
    <col min="1805" max="1805" width="1.5546875" style="83" customWidth="1"/>
    <col min="1806" max="2048" width="9.109375" style="83"/>
    <col min="2049" max="2049" width="1.88671875" style="83" customWidth="1"/>
    <col min="2050" max="2050" width="5.33203125" style="83" customWidth="1"/>
    <col min="2051" max="2051" width="13.6640625" style="83" customWidth="1"/>
    <col min="2052" max="2052" width="19" style="83" customWidth="1"/>
    <col min="2053" max="2054" width="14.44140625" style="83" customWidth="1"/>
    <col min="2055" max="2055" width="5.33203125" style="83" customWidth="1"/>
    <col min="2056" max="2056" width="9.109375" style="83"/>
    <col min="2057" max="2057" width="12" style="83" customWidth="1"/>
    <col min="2058" max="2059" width="9.109375" style="83"/>
    <col min="2060" max="2060" width="11.44140625" style="83" bestFit="1" customWidth="1"/>
    <col min="2061" max="2061" width="1.5546875" style="83" customWidth="1"/>
    <col min="2062" max="2304" width="9.109375" style="83"/>
    <col min="2305" max="2305" width="1.88671875" style="83" customWidth="1"/>
    <col min="2306" max="2306" width="5.33203125" style="83" customWidth="1"/>
    <col min="2307" max="2307" width="13.6640625" style="83" customWidth="1"/>
    <col min="2308" max="2308" width="19" style="83" customWidth="1"/>
    <col min="2309" max="2310" width="14.44140625" style="83" customWidth="1"/>
    <col min="2311" max="2311" width="5.33203125" style="83" customWidth="1"/>
    <col min="2312" max="2312" width="9.109375" style="83"/>
    <col min="2313" max="2313" width="12" style="83" customWidth="1"/>
    <col min="2314" max="2315" width="9.109375" style="83"/>
    <col min="2316" max="2316" width="11.44140625" style="83" bestFit="1" customWidth="1"/>
    <col min="2317" max="2317" width="1.5546875" style="83" customWidth="1"/>
    <col min="2318" max="2560" width="9.109375" style="83"/>
    <col min="2561" max="2561" width="1.88671875" style="83" customWidth="1"/>
    <col min="2562" max="2562" width="5.33203125" style="83" customWidth="1"/>
    <col min="2563" max="2563" width="13.6640625" style="83" customWidth="1"/>
    <col min="2564" max="2564" width="19" style="83" customWidth="1"/>
    <col min="2565" max="2566" width="14.44140625" style="83" customWidth="1"/>
    <col min="2567" max="2567" width="5.33203125" style="83" customWidth="1"/>
    <col min="2568" max="2568" width="9.109375" style="83"/>
    <col min="2569" max="2569" width="12" style="83" customWidth="1"/>
    <col min="2570" max="2571" width="9.109375" style="83"/>
    <col min="2572" max="2572" width="11.44140625" style="83" bestFit="1" customWidth="1"/>
    <col min="2573" max="2573" width="1.5546875" style="83" customWidth="1"/>
    <col min="2574" max="2816" width="9.109375" style="83"/>
    <col min="2817" max="2817" width="1.88671875" style="83" customWidth="1"/>
    <col min="2818" max="2818" width="5.33203125" style="83" customWidth="1"/>
    <col min="2819" max="2819" width="13.6640625" style="83" customWidth="1"/>
    <col min="2820" max="2820" width="19" style="83" customWidth="1"/>
    <col min="2821" max="2822" width="14.44140625" style="83" customWidth="1"/>
    <col min="2823" max="2823" width="5.33203125" style="83" customWidth="1"/>
    <col min="2824" max="2824" width="9.109375" style="83"/>
    <col min="2825" max="2825" width="12" style="83" customWidth="1"/>
    <col min="2826" max="2827" width="9.109375" style="83"/>
    <col min="2828" max="2828" width="11.44140625" style="83" bestFit="1" customWidth="1"/>
    <col min="2829" max="2829" width="1.5546875" style="83" customWidth="1"/>
    <col min="2830" max="3072" width="9.109375" style="83"/>
    <col min="3073" max="3073" width="1.88671875" style="83" customWidth="1"/>
    <col min="3074" max="3074" width="5.33203125" style="83" customWidth="1"/>
    <col min="3075" max="3075" width="13.6640625" style="83" customWidth="1"/>
    <col min="3076" max="3076" width="19" style="83" customWidth="1"/>
    <col min="3077" max="3078" width="14.44140625" style="83" customWidth="1"/>
    <col min="3079" max="3079" width="5.33203125" style="83" customWidth="1"/>
    <col min="3080" max="3080" width="9.109375" style="83"/>
    <col min="3081" max="3081" width="12" style="83" customWidth="1"/>
    <col min="3082" max="3083" width="9.109375" style="83"/>
    <col min="3084" max="3084" width="11.44140625" style="83" bestFit="1" customWidth="1"/>
    <col min="3085" max="3085" width="1.5546875" style="83" customWidth="1"/>
    <col min="3086" max="3328" width="9.109375" style="83"/>
    <col min="3329" max="3329" width="1.88671875" style="83" customWidth="1"/>
    <col min="3330" max="3330" width="5.33203125" style="83" customWidth="1"/>
    <col min="3331" max="3331" width="13.6640625" style="83" customWidth="1"/>
    <col min="3332" max="3332" width="19" style="83" customWidth="1"/>
    <col min="3333" max="3334" width="14.44140625" style="83" customWidth="1"/>
    <col min="3335" max="3335" width="5.33203125" style="83" customWidth="1"/>
    <col min="3336" max="3336" width="9.109375" style="83"/>
    <col min="3337" max="3337" width="12" style="83" customWidth="1"/>
    <col min="3338" max="3339" width="9.109375" style="83"/>
    <col min="3340" max="3340" width="11.44140625" style="83" bestFit="1" customWidth="1"/>
    <col min="3341" max="3341" width="1.5546875" style="83" customWidth="1"/>
    <col min="3342" max="3584" width="9.109375" style="83"/>
    <col min="3585" max="3585" width="1.88671875" style="83" customWidth="1"/>
    <col min="3586" max="3586" width="5.33203125" style="83" customWidth="1"/>
    <col min="3587" max="3587" width="13.6640625" style="83" customWidth="1"/>
    <col min="3588" max="3588" width="19" style="83" customWidth="1"/>
    <col min="3589" max="3590" width="14.44140625" style="83" customWidth="1"/>
    <col min="3591" max="3591" width="5.33203125" style="83" customWidth="1"/>
    <col min="3592" max="3592" width="9.109375" style="83"/>
    <col min="3593" max="3593" width="12" style="83" customWidth="1"/>
    <col min="3594" max="3595" width="9.109375" style="83"/>
    <col min="3596" max="3596" width="11.44140625" style="83" bestFit="1" customWidth="1"/>
    <col min="3597" max="3597" width="1.5546875" style="83" customWidth="1"/>
    <col min="3598" max="3840" width="9.109375" style="83"/>
    <col min="3841" max="3841" width="1.88671875" style="83" customWidth="1"/>
    <col min="3842" max="3842" width="5.33203125" style="83" customWidth="1"/>
    <col min="3843" max="3843" width="13.6640625" style="83" customWidth="1"/>
    <col min="3844" max="3844" width="19" style="83" customWidth="1"/>
    <col min="3845" max="3846" width="14.44140625" style="83" customWidth="1"/>
    <col min="3847" max="3847" width="5.33203125" style="83" customWidth="1"/>
    <col min="3848" max="3848" width="9.109375" style="83"/>
    <col min="3849" max="3849" width="12" style="83" customWidth="1"/>
    <col min="3850" max="3851" width="9.109375" style="83"/>
    <col min="3852" max="3852" width="11.44140625" style="83" bestFit="1" customWidth="1"/>
    <col min="3853" max="3853" width="1.5546875" style="83" customWidth="1"/>
    <col min="3854" max="4096" width="9.109375" style="83"/>
    <col min="4097" max="4097" width="1.88671875" style="83" customWidth="1"/>
    <col min="4098" max="4098" width="5.33203125" style="83" customWidth="1"/>
    <col min="4099" max="4099" width="13.6640625" style="83" customWidth="1"/>
    <col min="4100" max="4100" width="19" style="83" customWidth="1"/>
    <col min="4101" max="4102" width="14.44140625" style="83" customWidth="1"/>
    <col min="4103" max="4103" width="5.33203125" style="83" customWidth="1"/>
    <col min="4104" max="4104" width="9.109375" style="83"/>
    <col min="4105" max="4105" width="12" style="83" customWidth="1"/>
    <col min="4106" max="4107" width="9.109375" style="83"/>
    <col min="4108" max="4108" width="11.44140625" style="83" bestFit="1" customWidth="1"/>
    <col min="4109" max="4109" width="1.5546875" style="83" customWidth="1"/>
    <col min="4110" max="4352" width="9.109375" style="83"/>
    <col min="4353" max="4353" width="1.88671875" style="83" customWidth="1"/>
    <col min="4354" max="4354" width="5.33203125" style="83" customWidth="1"/>
    <col min="4355" max="4355" width="13.6640625" style="83" customWidth="1"/>
    <col min="4356" max="4356" width="19" style="83" customWidth="1"/>
    <col min="4357" max="4358" width="14.44140625" style="83" customWidth="1"/>
    <col min="4359" max="4359" width="5.33203125" style="83" customWidth="1"/>
    <col min="4360" max="4360" width="9.109375" style="83"/>
    <col min="4361" max="4361" width="12" style="83" customWidth="1"/>
    <col min="4362" max="4363" width="9.109375" style="83"/>
    <col min="4364" max="4364" width="11.44140625" style="83" bestFit="1" customWidth="1"/>
    <col min="4365" max="4365" width="1.5546875" style="83" customWidth="1"/>
    <col min="4366" max="4608" width="9.109375" style="83"/>
    <col min="4609" max="4609" width="1.88671875" style="83" customWidth="1"/>
    <col min="4610" max="4610" width="5.33203125" style="83" customWidth="1"/>
    <col min="4611" max="4611" width="13.6640625" style="83" customWidth="1"/>
    <col min="4612" max="4612" width="19" style="83" customWidth="1"/>
    <col min="4613" max="4614" width="14.44140625" style="83" customWidth="1"/>
    <col min="4615" max="4615" width="5.33203125" style="83" customWidth="1"/>
    <col min="4616" max="4616" width="9.109375" style="83"/>
    <col min="4617" max="4617" width="12" style="83" customWidth="1"/>
    <col min="4618" max="4619" width="9.109375" style="83"/>
    <col min="4620" max="4620" width="11.44140625" style="83" bestFit="1" customWidth="1"/>
    <col min="4621" max="4621" width="1.5546875" style="83" customWidth="1"/>
    <col min="4622" max="4864" width="9.109375" style="83"/>
    <col min="4865" max="4865" width="1.88671875" style="83" customWidth="1"/>
    <col min="4866" max="4866" width="5.33203125" style="83" customWidth="1"/>
    <col min="4867" max="4867" width="13.6640625" style="83" customWidth="1"/>
    <col min="4868" max="4868" width="19" style="83" customWidth="1"/>
    <col min="4869" max="4870" width="14.44140625" style="83" customWidth="1"/>
    <col min="4871" max="4871" width="5.33203125" style="83" customWidth="1"/>
    <col min="4872" max="4872" width="9.109375" style="83"/>
    <col min="4873" max="4873" width="12" style="83" customWidth="1"/>
    <col min="4874" max="4875" width="9.109375" style="83"/>
    <col min="4876" max="4876" width="11.44140625" style="83" bestFit="1" customWidth="1"/>
    <col min="4877" max="4877" width="1.5546875" style="83" customWidth="1"/>
    <col min="4878" max="5120" width="9.109375" style="83"/>
    <col min="5121" max="5121" width="1.88671875" style="83" customWidth="1"/>
    <col min="5122" max="5122" width="5.33203125" style="83" customWidth="1"/>
    <col min="5123" max="5123" width="13.6640625" style="83" customWidth="1"/>
    <col min="5124" max="5124" width="19" style="83" customWidth="1"/>
    <col min="5125" max="5126" width="14.44140625" style="83" customWidth="1"/>
    <col min="5127" max="5127" width="5.33203125" style="83" customWidth="1"/>
    <col min="5128" max="5128" width="9.109375" style="83"/>
    <col min="5129" max="5129" width="12" style="83" customWidth="1"/>
    <col min="5130" max="5131" width="9.109375" style="83"/>
    <col min="5132" max="5132" width="11.44140625" style="83" bestFit="1" customWidth="1"/>
    <col min="5133" max="5133" width="1.5546875" style="83" customWidth="1"/>
    <col min="5134" max="5376" width="9.109375" style="83"/>
    <col min="5377" max="5377" width="1.88671875" style="83" customWidth="1"/>
    <col min="5378" max="5378" width="5.33203125" style="83" customWidth="1"/>
    <col min="5379" max="5379" width="13.6640625" style="83" customWidth="1"/>
    <col min="5380" max="5380" width="19" style="83" customWidth="1"/>
    <col min="5381" max="5382" width="14.44140625" style="83" customWidth="1"/>
    <col min="5383" max="5383" width="5.33203125" style="83" customWidth="1"/>
    <col min="5384" max="5384" width="9.109375" style="83"/>
    <col min="5385" max="5385" width="12" style="83" customWidth="1"/>
    <col min="5386" max="5387" width="9.109375" style="83"/>
    <col min="5388" max="5388" width="11.44140625" style="83" bestFit="1" customWidth="1"/>
    <col min="5389" max="5389" width="1.5546875" style="83" customWidth="1"/>
    <col min="5390" max="5632" width="9.109375" style="83"/>
    <col min="5633" max="5633" width="1.88671875" style="83" customWidth="1"/>
    <col min="5634" max="5634" width="5.33203125" style="83" customWidth="1"/>
    <col min="5635" max="5635" width="13.6640625" style="83" customWidth="1"/>
    <col min="5636" max="5636" width="19" style="83" customWidth="1"/>
    <col min="5637" max="5638" width="14.44140625" style="83" customWidth="1"/>
    <col min="5639" max="5639" width="5.33203125" style="83" customWidth="1"/>
    <col min="5640" max="5640" width="9.109375" style="83"/>
    <col min="5641" max="5641" width="12" style="83" customWidth="1"/>
    <col min="5642" max="5643" width="9.109375" style="83"/>
    <col min="5644" max="5644" width="11.44140625" style="83" bestFit="1" customWidth="1"/>
    <col min="5645" max="5645" width="1.5546875" style="83" customWidth="1"/>
    <col min="5646" max="5888" width="9.109375" style="83"/>
    <col min="5889" max="5889" width="1.88671875" style="83" customWidth="1"/>
    <col min="5890" max="5890" width="5.33203125" style="83" customWidth="1"/>
    <col min="5891" max="5891" width="13.6640625" style="83" customWidth="1"/>
    <col min="5892" max="5892" width="19" style="83" customWidth="1"/>
    <col min="5893" max="5894" width="14.44140625" style="83" customWidth="1"/>
    <col min="5895" max="5895" width="5.33203125" style="83" customWidth="1"/>
    <col min="5896" max="5896" width="9.109375" style="83"/>
    <col min="5897" max="5897" width="12" style="83" customWidth="1"/>
    <col min="5898" max="5899" width="9.109375" style="83"/>
    <col min="5900" max="5900" width="11.44140625" style="83" bestFit="1" customWidth="1"/>
    <col min="5901" max="5901" width="1.5546875" style="83" customWidth="1"/>
    <col min="5902" max="6144" width="9.109375" style="83"/>
    <col min="6145" max="6145" width="1.88671875" style="83" customWidth="1"/>
    <col min="6146" max="6146" width="5.33203125" style="83" customWidth="1"/>
    <col min="6147" max="6147" width="13.6640625" style="83" customWidth="1"/>
    <col min="6148" max="6148" width="19" style="83" customWidth="1"/>
    <col min="6149" max="6150" width="14.44140625" style="83" customWidth="1"/>
    <col min="6151" max="6151" width="5.33203125" style="83" customWidth="1"/>
    <col min="6152" max="6152" width="9.109375" style="83"/>
    <col min="6153" max="6153" width="12" style="83" customWidth="1"/>
    <col min="6154" max="6155" width="9.109375" style="83"/>
    <col min="6156" max="6156" width="11.44140625" style="83" bestFit="1" customWidth="1"/>
    <col min="6157" max="6157" width="1.5546875" style="83" customWidth="1"/>
    <col min="6158" max="6400" width="9.109375" style="83"/>
    <col min="6401" max="6401" width="1.88671875" style="83" customWidth="1"/>
    <col min="6402" max="6402" width="5.33203125" style="83" customWidth="1"/>
    <col min="6403" max="6403" width="13.6640625" style="83" customWidth="1"/>
    <col min="6404" max="6404" width="19" style="83" customWidth="1"/>
    <col min="6405" max="6406" width="14.44140625" style="83" customWidth="1"/>
    <col min="6407" max="6407" width="5.33203125" style="83" customWidth="1"/>
    <col min="6408" max="6408" width="9.109375" style="83"/>
    <col min="6409" max="6409" width="12" style="83" customWidth="1"/>
    <col min="6410" max="6411" width="9.109375" style="83"/>
    <col min="6412" max="6412" width="11.44140625" style="83" bestFit="1" customWidth="1"/>
    <col min="6413" max="6413" width="1.5546875" style="83" customWidth="1"/>
    <col min="6414" max="6656" width="9.109375" style="83"/>
    <col min="6657" max="6657" width="1.88671875" style="83" customWidth="1"/>
    <col min="6658" max="6658" width="5.33203125" style="83" customWidth="1"/>
    <col min="6659" max="6659" width="13.6640625" style="83" customWidth="1"/>
    <col min="6660" max="6660" width="19" style="83" customWidth="1"/>
    <col min="6661" max="6662" width="14.44140625" style="83" customWidth="1"/>
    <col min="6663" max="6663" width="5.33203125" style="83" customWidth="1"/>
    <col min="6664" max="6664" width="9.109375" style="83"/>
    <col min="6665" max="6665" width="12" style="83" customWidth="1"/>
    <col min="6666" max="6667" width="9.109375" style="83"/>
    <col min="6668" max="6668" width="11.44140625" style="83" bestFit="1" customWidth="1"/>
    <col min="6669" max="6669" width="1.5546875" style="83" customWidth="1"/>
    <col min="6670" max="6912" width="9.109375" style="83"/>
    <col min="6913" max="6913" width="1.88671875" style="83" customWidth="1"/>
    <col min="6914" max="6914" width="5.33203125" style="83" customWidth="1"/>
    <col min="6915" max="6915" width="13.6640625" style="83" customWidth="1"/>
    <col min="6916" max="6916" width="19" style="83" customWidth="1"/>
    <col min="6917" max="6918" width="14.44140625" style="83" customWidth="1"/>
    <col min="6919" max="6919" width="5.33203125" style="83" customWidth="1"/>
    <col min="6920" max="6920" width="9.109375" style="83"/>
    <col min="6921" max="6921" width="12" style="83" customWidth="1"/>
    <col min="6922" max="6923" width="9.109375" style="83"/>
    <col min="6924" max="6924" width="11.44140625" style="83" bestFit="1" customWidth="1"/>
    <col min="6925" max="6925" width="1.5546875" style="83" customWidth="1"/>
    <col min="6926" max="7168" width="9.109375" style="83"/>
    <col min="7169" max="7169" width="1.88671875" style="83" customWidth="1"/>
    <col min="7170" max="7170" width="5.33203125" style="83" customWidth="1"/>
    <col min="7171" max="7171" width="13.6640625" style="83" customWidth="1"/>
    <col min="7172" max="7172" width="19" style="83" customWidth="1"/>
    <col min="7173" max="7174" width="14.44140625" style="83" customWidth="1"/>
    <col min="7175" max="7175" width="5.33203125" style="83" customWidth="1"/>
    <col min="7176" max="7176" width="9.109375" style="83"/>
    <col min="7177" max="7177" width="12" style="83" customWidth="1"/>
    <col min="7178" max="7179" width="9.109375" style="83"/>
    <col min="7180" max="7180" width="11.44140625" style="83" bestFit="1" customWidth="1"/>
    <col min="7181" max="7181" width="1.5546875" style="83" customWidth="1"/>
    <col min="7182" max="7424" width="9.109375" style="83"/>
    <col min="7425" max="7425" width="1.88671875" style="83" customWidth="1"/>
    <col min="7426" max="7426" width="5.33203125" style="83" customWidth="1"/>
    <col min="7427" max="7427" width="13.6640625" style="83" customWidth="1"/>
    <col min="7428" max="7428" width="19" style="83" customWidth="1"/>
    <col min="7429" max="7430" width="14.44140625" style="83" customWidth="1"/>
    <col min="7431" max="7431" width="5.33203125" style="83" customWidth="1"/>
    <col min="7432" max="7432" width="9.109375" style="83"/>
    <col min="7433" max="7433" width="12" style="83" customWidth="1"/>
    <col min="7434" max="7435" width="9.109375" style="83"/>
    <col min="7436" max="7436" width="11.44140625" style="83" bestFit="1" customWidth="1"/>
    <col min="7437" max="7437" width="1.5546875" style="83" customWidth="1"/>
    <col min="7438" max="7680" width="9.109375" style="83"/>
    <col min="7681" max="7681" width="1.88671875" style="83" customWidth="1"/>
    <col min="7682" max="7682" width="5.33203125" style="83" customWidth="1"/>
    <col min="7683" max="7683" width="13.6640625" style="83" customWidth="1"/>
    <col min="7684" max="7684" width="19" style="83" customWidth="1"/>
    <col min="7685" max="7686" width="14.44140625" style="83" customWidth="1"/>
    <col min="7687" max="7687" width="5.33203125" style="83" customWidth="1"/>
    <col min="7688" max="7688" width="9.109375" style="83"/>
    <col min="7689" max="7689" width="12" style="83" customWidth="1"/>
    <col min="7690" max="7691" width="9.109375" style="83"/>
    <col min="7692" max="7692" width="11.44140625" style="83" bestFit="1" customWidth="1"/>
    <col min="7693" max="7693" width="1.5546875" style="83" customWidth="1"/>
    <col min="7694" max="7936" width="9.109375" style="83"/>
    <col min="7937" max="7937" width="1.88671875" style="83" customWidth="1"/>
    <col min="7938" max="7938" width="5.33203125" style="83" customWidth="1"/>
    <col min="7939" max="7939" width="13.6640625" style="83" customWidth="1"/>
    <col min="7940" max="7940" width="19" style="83" customWidth="1"/>
    <col min="7941" max="7942" width="14.44140625" style="83" customWidth="1"/>
    <col min="7943" max="7943" width="5.33203125" style="83" customWidth="1"/>
    <col min="7944" max="7944" width="9.109375" style="83"/>
    <col min="7945" max="7945" width="12" style="83" customWidth="1"/>
    <col min="7946" max="7947" width="9.109375" style="83"/>
    <col min="7948" max="7948" width="11.44140625" style="83" bestFit="1" customWidth="1"/>
    <col min="7949" max="7949" width="1.5546875" style="83" customWidth="1"/>
    <col min="7950" max="8192" width="9.109375" style="83"/>
    <col min="8193" max="8193" width="1.88671875" style="83" customWidth="1"/>
    <col min="8194" max="8194" width="5.33203125" style="83" customWidth="1"/>
    <col min="8195" max="8195" width="13.6640625" style="83" customWidth="1"/>
    <col min="8196" max="8196" width="19" style="83" customWidth="1"/>
    <col min="8197" max="8198" width="14.44140625" style="83" customWidth="1"/>
    <col min="8199" max="8199" width="5.33203125" style="83" customWidth="1"/>
    <col min="8200" max="8200" width="9.109375" style="83"/>
    <col min="8201" max="8201" width="12" style="83" customWidth="1"/>
    <col min="8202" max="8203" width="9.109375" style="83"/>
    <col min="8204" max="8204" width="11.44140625" style="83" bestFit="1" customWidth="1"/>
    <col min="8205" max="8205" width="1.5546875" style="83" customWidth="1"/>
    <col min="8206" max="8448" width="9.109375" style="83"/>
    <col min="8449" max="8449" width="1.88671875" style="83" customWidth="1"/>
    <col min="8450" max="8450" width="5.33203125" style="83" customWidth="1"/>
    <col min="8451" max="8451" width="13.6640625" style="83" customWidth="1"/>
    <col min="8452" max="8452" width="19" style="83" customWidth="1"/>
    <col min="8453" max="8454" width="14.44140625" style="83" customWidth="1"/>
    <col min="8455" max="8455" width="5.33203125" style="83" customWidth="1"/>
    <col min="8456" max="8456" width="9.109375" style="83"/>
    <col min="8457" max="8457" width="12" style="83" customWidth="1"/>
    <col min="8458" max="8459" width="9.109375" style="83"/>
    <col min="8460" max="8460" width="11.44140625" style="83" bestFit="1" customWidth="1"/>
    <col min="8461" max="8461" width="1.5546875" style="83" customWidth="1"/>
    <col min="8462" max="8704" width="9.109375" style="83"/>
    <col min="8705" max="8705" width="1.88671875" style="83" customWidth="1"/>
    <col min="8706" max="8706" width="5.33203125" style="83" customWidth="1"/>
    <col min="8707" max="8707" width="13.6640625" style="83" customWidth="1"/>
    <col min="8708" max="8708" width="19" style="83" customWidth="1"/>
    <col min="8709" max="8710" width="14.44140625" style="83" customWidth="1"/>
    <col min="8711" max="8711" width="5.33203125" style="83" customWidth="1"/>
    <col min="8712" max="8712" width="9.109375" style="83"/>
    <col min="8713" max="8713" width="12" style="83" customWidth="1"/>
    <col min="8714" max="8715" width="9.109375" style="83"/>
    <col min="8716" max="8716" width="11.44140625" style="83" bestFit="1" customWidth="1"/>
    <col min="8717" max="8717" width="1.5546875" style="83" customWidth="1"/>
    <col min="8718" max="8960" width="9.109375" style="83"/>
    <col min="8961" max="8961" width="1.88671875" style="83" customWidth="1"/>
    <col min="8962" max="8962" width="5.33203125" style="83" customWidth="1"/>
    <col min="8963" max="8963" width="13.6640625" style="83" customWidth="1"/>
    <col min="8964" max="8964" width="19" style="83" customWidth="1"/>
    <col min="8965" max="8966" width="14.44140625" style="83" customWidth="1"/>
    <col min="8967" max="8967" width="5.33203125" style="83" customWidth="1"/>
    <col min="8968" max="8968" width="9.109375" style="83"/>
    <col min="8969" max="8969" width="12" style="83" customWidth="1"/>
    <col min="8970" max="8971" width="9.109375" style="83"/>
    <col min="8972" max="8972" width="11.44140625" style="83" bestFit="1" customWidth="1"/>
    <col min="8973" max="8973" width="1.5546875" style="83" customWidth="1"/>
    <col min="8974" max="9216" width="9.109375" style="83"/>
    <col min="9217" max="9217" width="1.88671875" style="83" customWidth="1"/>
    <col min="9218" max="9218" width="5.33203125" style="83" customWidth="1"/>
    <col min="9219" max="9219" width="13.6640625" style="83" customWidth="1"/>
    <col min="9220" max="9220" width="19" style="83" customWidth="1"/>
    <col min="9221" max="9222" width="14.44140625" style="83" customWidth="1"/>
    <col min="9223" max="9223" width="5.33203125" style="83" customWidth="1"/>
    <col min="9224" max="9224" width="9.109375" style="83"/>
    <col min="9225" max="9225" width="12" style="83" customWidth="1"/>
    <col min="9226" max="9227" width="9.109375" style="83"/>
    <col min="9228" max="9228" width="11.44140625" style="83" bestFit="1" customWidth="1"/>
    <col min="9229" max="9229" width="1.5546875" style="83" customWidth="1"/>
    <col min="9230" max="9472" width="9.109375" style="83"/>
    <col min="9473" max="9473" width="1.88671875" style="83" customWidth="1"/>
    <col min="9474" max="9474" width="5.33203125" style="83" customWidth="1"/>
    <col min="9475" max="9475" width="13.6640625" style="83" customWidth="1"/>
    <col min="9476" max="9476" width="19" style="83" customWidth="1"/>
    <col min="9477" max="9478" width="14.44140625" style="83" customWidth="1"/>
    <col min="9479" max="9479" width="5.33203125" style="83" customWidth="1"/>
    <col min="9480" max="9480" width="9.109375" style="83"/>
    <col min="9481" max="9481" width="12" style="83" customWidth="1"/>
    <col min="9482" max="9483" width="9.109375" style="83"/>
    <col min="9484" max="9484" width="11.44140625" style="83" bestFit="1" customWidth="1"/>
    <col min="9485" max="9485" width="1.5546875" style="83" customWidth="1"/>
    <col min="9486" max="9728" width="9.109375" style="83"/>
    <col min="9729" max="9729" width="1.88671875" style="83" customWidth="1"/>
    <col min="9730" max="9730" width="5.33203125" style="83" customWidth="1"/>
    <col min="9731" max="9731" width="13.6640625" style="83" customWidth="1"/>
    <col min="9732" max="9732" width="19" style="83" customWidth="1"/>
    <col min="9733" max="9734" width="14.44140625" style="83" customWidth="1"/>
    <col min="9735" max="9735" width="5.33203125" style="83" customWidth="1"/>
    <col min="9736" max="9736" width="9.109375" style="83"/>
    <col min="9737" max="9737" width="12" style="83" customWidth="1"/>
    <col min="9738" max="9739" width="9.109375" style="83"/>
    <col min="9740" max="9740" width="11.44140625" style="83" bestFit="1" customWidth="1"/>
    <col min="9741" max="9741" width="1.5546875" style="83" customWidth="1"/>
    <col min="9742" max="9984" width="9.109375" style="83"/>
    <col min="9985" max="9985" width="1.88671875" style="83" customWidth="1"/>
    <col min="9986" max="9986" width="5.33203125" style="83" customWidth="1"/>
    <col min="9987" max="9987" width="13.6640625" style="83" customWidth="1"/>
    <col min="9988" max="9988" width="19" style="83" customWidth="1"/>
    <col min="9989" max="9990" width="14.44140625" style="83" customWidth="1"/>
    <col min="9991" max="9991" width="5.33203125" style="83" customWidth="1"/>
    <col min="9992" max="9992" width="9.109375" style="83"/>
    <col min="9993" max="9993" width="12" style="83" customWidth="1"/>
    <col min="9994" max="9995" width="9.109375" style="83"/>
    <col min="9996" max="9996" width="11.44140625" style="83" bestFit="1" customWidth="1"/>
    <col min="9997" max="9997" width="1.5546875" style="83" customWidth="1"/>
    <col min="9998" max="10240" width="9.109375" style="83"/>
    <col min="10241" max="10241" width="1.88671875" style="83" customWidth="1"/>
    <col min="10242" max="10242" width="5.33203125" style="83" customWidth="1"/>
    <col min="10243" max="10243" width="13.6640625" style="83" customWidth="1"/>
    <col min="10244" max="10244" width="19" style="83" customWidth="1"/>
    <col min="10245" max="10246" width="14.44140625" style="83" customWidth="1"/>
    <col min="10247" max="10247" width="5.33203125" style="83" customWidth="1"/>
    <col min="10248" max="10248" width="9.109375" style="83"/>
    <col min="10249" max="10249" width="12" style="83" customWidth="1"/>
    <col min="10250" max="10251" width="9.109375" style="83"/>
    <col min="10252" max="10252" width="11.44140625" style="83" bestFit="1" customWidth="1"/>
    <col min="10253" max="10253" width="1.5546875" style="83" customWidth="1"/>
    <col min="10254" max="10496" width="9.109375" style="83"/>
    <col min="10497" max="10497" width="1.88671875" style="83" customWidth="1"/>
    <col min="10498" max="10498" width="5.33203125" style="83" customWidth="1"/>
    <col min="10499" max="10499" width="13.6640625" style="83" customWidth="1"/>
    <col min="10500" max="10500" width="19" style="83" customWidth="1"/>
    <col min="10501" max="10502" width="14.44140625" style="83" customWidth="1"/>
    <col min="10503" max="10503" width="5.33203125" style="83" customWidth="1"/>
    <col min="10504" max="10504" width="9.109375" style="83"/>
    <col min="10505" max="10505" width="12" style="83" customWidth="1"/>
    <col min="10506" max="10507" width="9.109375" style="83"/>
    <col min="10508" max="10508" width="11.44140625" style="83" bestFit="1" customWidth="1"/>
    <col min="10509" max="10509" width="1.5546875" style="83" customWidth="1"/>
    <col min="10510" max="10752" width="9.109375" style="83"/>
    <col min="10753" max="10753" width="1.88671875" style="83" customWidth="1"/>
    <col min="10754" max="10754" width="5.33203125" style="83" customWidth="1"/>
    <col min="10755" max="10755" width="13.6640625" style="83" customWidth="1"/>
    <col min="10756" max="10756" width="19" style="83" customWidth="1"/>
    <col min="10757" max="10758" width="14.44140625" style="83" customWidth="1"/>
    <col min="10759" max="10759" width="5.33203125" style="83" customWidth="1"/>
    <col min="10760" max="10760" width="9.109375" style="83"/>
    <col min="10761" max="10761" width="12" style="83" customWidth="1"/>
    <col min="10762" max="10763" width="9.109375" style="83"/>
    <col min="10764" max="10764" width="11.44140625" style="83" bestFit="1" customWidth="1"/>
    <col min="10765" max="10765" width="1.5546875" style="83" customWidth="1"/>
    <col min="10766" max="11008" width="9.109375" style="83"/>
    <col min="11009" max="11009" width="1.88671875" style="83" customWidth="1"/>
    <col min="11010" max="11010" width="5.33203125" style="83" customWidth="1"/>
    <col min="11011" max="11011" width="13.6640625" style="83" customWidth="1"/>
    <col min="11012" max="11012" width="19" style="83" customWidth="1"/>
    <col min="11013" max="11014" width="14.44140625" style="83" customWidth="1"/>
    <col min="11015" max="11015" width="5.33203125" style="83" customWidth="1"/>
    <col min="11016" max="11016" width="9.109375" style="83"/>
    <col min="11017" max="11017" width="12" style="83" customWidth="1"/>
    <col min="11018" max="11019" width="9.109375" style="83"/>
    <col min="11020" max="11020" width="11.44140625" style="83" bestFit="1" customWidth="1"/>
    <col min="11021" max="11021" width="1.5546875" style="83" customWidth="1"/>
    <col min="11022" max="11264" width="9.109375" style="83"/>
    <col min="11265" max="11265" width="1.88671875" style="83" customWidth="1"/>
    <col min="11266" max="11266" width="5.33203125" style="83" customWidth="1"/>
    <col min="11267" max="11267" width="13.6640625" style="83" customWidth="1"/>
    <col min="11268" max="11268" width="19" style="83" customWidth="1"/>
    <col min="11269" max="11270" width="14.44140625" style="83" customWidth="1"/>
    <col min="11271" max="11271" width="5.33203125" style="83" customWidth="1"/>
    <col min="11272" max="11272" width="9.109375" style="83"/>
    <col min="11273" max="11273" width="12" style="83" customWidth="1"/>
    <col min="11274" max="11275" width="9.109375" style="83"/>
    <col min="11276" max="11276" width="11.44140625" style="83" bestFit="1" customWidth="1"/>
    <col min="11277" max="11277" width="1.5546875" style="83" customWidth="1"/>
    <col min="11278" max="11520" width="9.109375" style="83"/>
    <col min="11521" max="11521" width="1.88671875" style="83" customWidth="1"/>
    <col min="11522" max="11522" width="5.33203125" style="83" customWidth="1"/>
    <col min="11523" max="11523" width="13.6640625" style="83" customWidth="1"/>
    <col min="11524" max="11524" width="19" style="83" customWidth="1"/>
    <col min="11525" max="11526" width="14.44140625" style="83" customWidth="1"/>
    <col min="11527" max="11527" width="5.33203125" style="83" customWidth="1"/>
    <col min="11528" max="11528" width="9.109375" style="83"/>
    <col min="11529" max="11529" width="12" style="83" customWidth="1"/>
    <col min="11530" max="11531" width="9.109375" style="83"/>
    <col min="11532" max="11532" width="11.44140625" style="83" bestFit="1" customWidth="1"/>
    <col min="11533" max="11533" width="1.5546875" style="83" customWidth="1"/>
    <col min="11534" max="11776" width="9.109375" style="83"/>
    <col min="11777" max="11777" width="1.88671875" style="83" customWidth="1"/>
    <col min="11778" max="11778" width="5.33203125" style="83" customWidth="1"/>
    <col min="11779" max="11779" width="13.6640625" style="83" customWidth="1"/>
    <col min="11780" max="11780" width="19" style="83" customWidth="1"/>
    <col min="11781" max="11782" width="14.44140625" style="83" customWidth="1"/>
    <col min="11783" max="11783" width="5.33203125" style="83" customWidth="1"/>
    <col min="11784" max="11784" width="9.109375" style="83"/>
    <col min="11785" max="11785" width="12" style="83" customWidth="1"/>
    <col min="11786" max="11787" width="9.109375" style="83"/>
    <col min="11788" max="11788" width="11.44140625" style="83" bestFit="1" customWidth="1"/>
    <col min="11789" max="11789" width="1.5546875" style="83" customWidth="1"/>
    <col min="11790" max="12032" width="9.109375" style="83"/>
    <col min="12033" max="12033" width="1.88671875" style="83" customWidth="1"/>
    <col min="12034" max="12034" width="5.33203125" style="83" customWidth="1"/>
    <col min="12035" max="12035" width="13.6640625" style="83" customWidth="1"/>
    <col min="12036" max="12036" width="19" style="83" customWidth="1"/>
    <col min="12037" max="12038" width="14.44140625" style="83" customWidth="1"/>
    <col min="12039" max="12039" width="5.33203125" style="83" customWidth="1"/>
    <col min="12040" max="12040" width="9.109375" style="83"/>
    <col min="12041" max="12041" width="12" style="83" customWidth="1"/>
    <col min="12042" max="12043" width="9.109375" style="83"/>
    <col min="12044" max="12044" width="11.44140625" style="83" bestFit="1" customWidth="1"/>
    <col min="12045" max="12045" width="1.5546875" style="83" customWidth="1"/>
    <col min="12046" max="12288" width="9.109375" style="83"/>
    <col min="12289" max="12289" width="1.88671875" style="83" customWidth="1"/>
    <col min="12290" max="12290" width="5.33203125" style="83" customWidth="1"/>
    <col min="12291" max="12291" width="13.6640625" style="83" customWidth="1"/>
    <col min="12292" max="12292" width="19" style="83" customWidth="1"/>
    <col min="12293" max="12294" width="14.44140625" style="83" customWidth="1"/>
    <col min="12295" max="12295" width="5.33203125" style="83" customWidth="1"/>
    <col min="12296" max="12296" width="9.109375" style="83"/>
    <col min="12297" max="12297" width="12" style="83" customWidth="1"/>
    <col min="12298" max="12299" width="9.109375" style="83"/>
    <col min="12300" max="12300" width="11.44140625" style="83" bestFit="1" customWidth="1"/>
    <col min="12301" max="12301" width="1.5546875" style="83" customWidth="1"/>
    <col min="12302" max="12544" width="9.109375" style="83"/>
    <col min="12545" max="12545" width="1.88671875" style="83" customWidth="1"/>
    <col min="12546" max="12546" width="5.33203125" style="83" customWidth="1"/>
    <col min="12547" max="12547" width="13.6640625" style="83" customWidth="1"/>
    <col min="12548" max="12548" width="19" style="83" customWidth="1"/>
    <col min="12549" max="12550" width="14.44140625" style="83" customWidth="1"/>
    <col min="12551" max="12551" width="5.33203125" style="83" customWidth="1"/>
    <col min="12552" max="12552" width="9.109375" style="83"/>
    <col min="12553" max="12553" width="12" style="83" customWidth="1"/>
    <col min="12554" max="12555" width="9.109375" style="83"/>
    <col min="12556" max="12556" width="11.44140625" style="83" bestFit="1" customWidth="1"/>
    <col min="12557" max="12557" width="1.5546875" style="83" customWidth="1"/>
    <col min="12558" max="12800" width="9.109375" style="83"/>
    <col min="12801" max="12801" width="1.88671875" style="83" customWidth="1"/>
    <col min="12802" max="12802" width="5.33203125" style="83" customWidth="1"/>
    <col min="12803" max="12803" width="13.6640625" style="83" customWidth="1"/>
    <col min="12804" max="12804" width="19" style="83" customWidth="1"/>
    <col min="12805" max="12806" width="14.44140625" style="83" customWidth="1"/>
    <col min="12807" max="12807" width="5.33203125" style="83" customWidth="1"/>
    <col min="12808" max="12808" width="9.109375" style="83"/>
    <col min="12809" max="12809" width="12" style="83" customWidth="1"/>
    <col min="12810" max="12811" width="9.109375" style="83"/>
    <col min="12812" max="12812" width="11.44140625" style="83" bestFit="1" customWidth="1"/>
    <col min="12813" max="12813" width="1.5546875" style="83" customWidth="1"/>
    <col min="12814" max="13056" width="9.109375" style="83"/>
    <col min="13057" max="13057" width="1.88671875" style="83" customWidth="1"/>
    <col min="13058" max="13058" width="5.33203125" style="83" customWidth="1"/>
    <col min="13059" max="13059" width="13.6640625" style="83" customWidth="1"/>
    <col min="13060" max="13060" width="19" style="83" customWidth="1"/>
    <col min="13061" max="13062" width="14.44140625" style="83" customWidth="1"/>
    <col min="13063" max="13063" width="5.33203125" style="83" customWidth="1"/>
    <col min="13064" max="13064" width="9.109375" style="83"/>
    <col min="13065" max="13065" width="12" style="83" customWidth="1"/>
    <col min="13066" max="13067" width="9.109375" style="83"/>
    <col min="13068" max="13068" width="11.44140625" style="83" bestFit="1" customWidth="1"/>
    <col min="13069" max="13069" width="1.5546875" style="83" customWidth="1"/>
    <col min="13070" max="13312" width="9.109375" style="83"/>
    <col min="13313" max="13313" width="1.88671875" style="83" customWidth="1"/>
    <col min="13314" max="13314" width="5.33203125" style="83" customWidth="1"/>
    <col min="13315" max="13315" width="13.6640625" style="83" customWidth="1"/>
    <col min="13316" max="13316" width="19" style="83" customWidth="1"/>
    <col min="13317" max="13318" width="14.44140625" style="83" customWidth="1"/>
    <col min="13319" max="13319" width="5.33203125" style="83" customWidth="1"/>
    <col min="13320" max="13320" width="9.109375" style="83"/>
    <col min="13321" max="13321" width="12" style="83" customWidth="1"/>
    <col min="13322" max="13323" width="9.109375" style="83"/>
    <col min="13324" max="13324" width="11.44140625" style="83" bestFit="1" customWidth="1"/>
    <col min="13325" max="13325" width="1.5546875" style="83" customWidth="1"/>
    <col min="13326" max="13568" width="9.109375" style="83"/>
    <col min="13569" max="13569" width="1.88671875" style="83" customWidth="1"/>
    <col min="13570" max="13570" width="5.33203125" style="83" customWidth="1"/>
    <col min="13571" max="13571" width="13.6640625" style="83" customWidth="1"/>
    <col min="13572" max="13572" width="19" style="83" customWidth="1"/>
    <col min="13573" max="13574" width="14.44140625" style="83" customWidth="1"/>
    <col min="13575" max="13575" width="5.33203125" style="83" customWidth="1"/>
    <col min="13576" max="13576" width="9.109375" style="83"/>
    <col min="13577" max="13577" width="12" style="83" customWidth="1"/>
    <col min="13578" max="13579" width="9.109375" style="83"/>
    <col min="13580" max="13580" width="11.44140625" style="83" bestFit="1" customWidth="1"/>
    <col min="13581" max="13581" width="1.5546875" style="83" customWidth="1"/>
    <col min="13582" max="13824" width="9.109375" style="83"/>
    <col min="13825" max="13825" width="1.88671875" style="83" customWidth="1"/>
    <col min="13826" max="13826" width="5.33203125" style="83" customWidth="1"/>
    <col min="13827" max="13827" width="13.6640625" style="83" customWidth="1"/>
    <col min="13828" max="13828" width="19" style="83" customWidth="1"/>
    <col min="13829" max="13830" width="14.44140625" style="83" customWidth="1"/>
    <col min="13831" max="13831" width="5.33203125" style="83" customWidth="1"/>
    <col min="13832" max="13832" width="9.109375" style="83"/>
    <col min="13833" max="13833" width="12" style="83" customWidth="1"/>
    <col min="13834" max="13835" width="9.109375" style="83"/>
    <col min="13836" max="13836" width="11.44140625" style="83" bestFit="1" customWidth="1"/>
    <col min="13837" max="13837" width="1.5546875" style="83" customWidth="1"/>
    <col min="13838" max="14080" width="9.109375" style="83"/>
    <col min="14081" max="14081" width="1.88671875" style="83" customWidth="1"/>
    <col min="14082" max="14082" width="5.33203125" style="83" customWidth="1"/>
    <col min="14083" max="14083" width="13.6640625" style="83" customWidth="1"/>
    <col min="14084" max="14084" width="19" style="83" customWidth="1"/>
    <col min="14085" max="14086" width="14.44140625" style="83" customWidth="1"/>
    <col min="14087" max="14087" width="5.33203125" style="83" customWidth="1"/>
    <col min="14088" max="14088" width="9.109375" style="83"/>
    <col min="14089" max="14089" width="12" style="83" customWidth="1"/>
    <col min="14090" max="14091" width="9.109375" style="83"/>
    <col min="14092" max="14092" width="11.44140625" style="83" bestFit="1" customWidth="1"/>
    <col min="14093" max="14093" width="1.5546875" style="83" customWidth="1"/>
    <col min="14094" max="14336" width="9.109375" style="83"/>
    <col min="14337" max="14337" width="1.88671875" style="83" customWidth="1"/>
    <col min="14338" max="14338" width="5.33203125" style="83" customWidth="1"/>
    <col min="14339" max="14339" width="13.6640625" style="83" customWidth="1"/>
    <col min="14340" max="14340" width="19" style="83" customWidth="1"/>
    <col min="14341" max="14342" width="14.44140625" style="83" customWidth="1"/>
    <col min="14343" max="14343" width="5.33203125" style="83" customWidth="1"/>
    <col min="14344" max="14344" width="9.109375" style="83"/>
    <col min="14345" max="14345" width="12" style="83" customWidth="1"/>
    <col min="14346" max="14347" width="9.109375" style="83"/>
    <col min="14348" max="14348" width="11.44140625" style="83" bestFit="1" customWidth="1"/>
    <col min="14349" max="14349" width="1.5546875" style="83" customWidth="1"/>
    <col min="14350" max="14592" width="9.109375" style="83"/>
    <col min="14593" max="14593" width="1.88671875" style="83" customWidth="1"/>
    <col min="14594" max="14594" width="5.33203125" style="83" customWidth="1"/>
    <col min="14595" max="14595" width="13.6640625" style="83" customWidth="1"/>
    <col min="14596" max="14596" width="19" style="83" customWidth="1"/>
    <col min="14597" max="14598" width="14.44140625" style="83" customWidth="1"/>
    <col min="14599" max="14599" width="5.33203125" style="83" customWidth="1"/>
    <col min="14600" max="14600" width="9.109375" style="83"/>
    <col min="14601" max="14601" width="12" style="83" customWidth="1"/>
    <col min="14602" max="14603" width="9.109375" style="83"/>
    <col min="14604" max="14604" width="11.44140625" style="83" bestFit="1" customWidth="1"/>
    <col min="14605" max="14605" width="1.5546875" style="83" customWidth="1"/>
    <col min="14606" max="14848" width="9.109375" style="83"/>
    <col min="14849" max="14849" width="1.88671875" style="83" customWidth="1"/>
    <col min="14850" max="14850" width="5.33203125" style="83" customWidth="1"/>
    <col min="14851" max="14851" width="13.6640625" style="83" customWidth="1"/>
    <col min="14852" max="14852" width="19" style="83" customWidth="1"/>
    <col min="14853" max="14854" width="14.44140625" style="83" customWidth="1"/>
    <col min="14855" max="14855" width="5.33203125" style="83" customWidth="1"/>
    <col min="14856" max="14856" width="9.109375" style="83"/>
    <col min="14857" max="14857" width="12" style="83" customWidth="1"/>
    <col min="14858" max="14859" width="9.109375" style="83"/>
    <col min="14860" max="14860" width="11.44140625" style="83" bestFit="1" customWidth="1"/>
    <col min="14861" max="14861" width="1.5546875" style="83" customWidth="1"/>
    <col min="14862" max="15104" width="9.109375" style="83"/>
    <col min="15105" max="15105" width="1.88671875" style="83" customWidth="1"/>
    <col min="15106" max="15106" width="5.33203125" style="83" customWidth="1"/>
    <col min="15107" max="15107" width="13.6640625" style="83" customWidth="1"/>
    <col min="15108" max="15108" width="19" style="83" customWidth="1"/>
    <col min="15109" max="15110" width="14.44140625" style="83" customWidth="1"/>
    <col min="15111" max="15111" width="5.33203125" style="83" customWidth="1"/>
    <col min="15112" max="15112" width="9.109375" style="83"/>
    <col min="15113" max="15113" width="12" style="83" customWidth="1"/>
    <col min="15114" max="15115" width="9.109375" style="83"/>
    <col min="15116" max="15116" width="11.44140625" style="83" bestFit="1" customWidth="1"/>
    <col min="15117" max="15117" width="1.5546875" style="83" customWidth="1"/>
    <col min="15118" max="15360" width="9.109375" style="83"/>
    <col min="15361" max="15361" width="1.88671875" style="83" customWidth="1"/>
    <col min="15362" max="15362" width="5.33203125" style="83" customWidth="1"/>
    <col min="15363" max="15363" width="13.6640625" style="83" customWidth="1"/>
    <col min="15364" max="15364" width="19" style="83" customWidth="1"/>
    <col min="15365" max="15366" width="14.44140625" style="83" customWidth="1"/>
    <col min="15367" max="15367" width="5.33203125" style="83" customWidth="1"/>
    <col min="15368" max="15368" width="9.109375" style="83"/>
    <col min="15369" max="15369" width="12" style="83" customWidth="1"/>
    <col min="15370" max="15371" width="9.109375" style="83"/>
    <col min="15372" max="15372" width="11.44140625" style="83" bestFit="1" customWidth="1"/>
    <col min="15373" max="15373" width="1.5546875" style="83" customWidth="1"/>
    <col min="15374" max="15616" width="9.109375" style="83"/>
    <col min="15617" max="15617" width="1.88671875" style="83" customWidth="1"/>
    <col min="15618" max="15618" width="5.33203125" style="83" customWidth="1"/>
    <col min="15619" max="15619" width="13.6640625" style="83" customWidth="1"/>
    <col min="15620" max="15620" width="19" style="83" customWidth="1"/>
    <col min="15621" max="15622" width="14.44140625" style="83" customWidth="1"/>
    <col min="15623" max="15623" width="5.33203125" style="83" customWidth="1"/>
    <col min="15624" max="15624" width="9.109375" style="83"/>
    <col min="15625" max="15625" width="12" style="83" customWidth="1"/>
    <col min="15626" max="15627" width="9.109375" style="83"/>
    <col min="15628" max="15628" width="11.44140625" style="83" bestFit="1" customWidth="1"/>
    <col min="15629" max="15629" width="1.5546875" style="83" customWidth="1"/>
    <col min="15630" max="15872" width="9.109375" style="83"/>
    <col min="15873" max="15873" width="1.88671875" style="83" customWidth="1"/>
    <col min="15874" max="15874" width="5.33203125" style="83" customWidth="1"/>
    <col min="15875" max="15875" width="13.6640625" style="83" customWidth="1"/>
    <col min="15876" max="15876" width="19" style="83" customWidth="1"/>
    <col min="15877" max="15878" width="14.44140625" style="83" customWidth="1"/>
    <col min="15879" max="15879" width="5.33203125" style="83" customWidth="1"/>
    <col min="15880" max="15880" width="9.109375" style="83"/>
    <col min="15881" max="15881" width="12" style="83" customWidth="1"/>
    <col min="15882" max="15883" width="9.109375" style="83"/>
    <col min="15884" max="15884" width="11.44140625" style="83" bestFit="1" customWidth="1"/>
    <col min="15885" max="15885" width="1.5546875" style="83" customWidth="1"/>
    <col min="15886" max="16128" width="9.109375" style="83"/>
    <col min="16129" max="16129" width="1.88671875" style="83" customWidth="1"/>
    <col min="16130" max="16130" width="5.33203125" style="83" customWidth="1"/>
    <col min="16131" max="16131" width="13.6640625" style="83" customWidth="1"/>
    <col min="16132" max="16132" width="19" style="83" customWidth="1"/>
    <col min="16133" max="16134" width="14.44140625" style="83" customWidth="1"/>
    <col min="16135" max="16135" width="5.33203125" style="83" customWidth="1"/>
    <col min="16136" max="16136" width="9.109375" style="83"/>
    <col min="16137" max="16137" width="12" style="83" customWidth="1"/>
    <col min="16138" max="16139" width="9.109375" style="83"/>
    <col min="16140" max="16140" width="11.44140625" style="83" bestFit="1" customWidth="1"/>
    <col min="16141" max="16141" width="1.5546875" style="83" customWidth="1"/>
    <col min="16142" max="16384" width="9.109375" style="83"/>
  </cols>
  <sheetData>
    <row r="1" spans="1:14" ht="6" customHeight="1" x14ac:dyDescent="0.2">
      <c r="A1" s="152"/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</row>
    <row r="2" spans="1:14" ht="25.5" customHeight="1" x14ac:dyDescent="0.2">
      <c r="A2" s="152"/>
      <c r="B2" s="275" t="s">
        <v>54</v>
      </c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152"/>
      <c r="N2" s="152"/>
    </row>
    <row r="3" spans="1:14" ht="6" customHeight="1" x14ac:dyDescent="0.2">
      <c r="A3" s="152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</row>
    <row r="4" spans="1:14" ht="18" customHeight="1" x14ac:dyDescent="0.2">
      <c r="A4" s="152"/>
      <c r="B4" s="276" t="s">
        <v>55</v>
      </c>
      <c r="C4" s="276"/>
      <c r="D4" s="276"/>
      <c r="E4" s="276"/>
      <c r="F4" s="276"/>
      <c r="G4" s="152"/>
      <c r="H4" s="276" t="s">
        <v>56</v>
      </c>
      <c r="I4" s="276"/>
      <c r="J4" s="276"/>
      <c r="K4" s="276"/>
      <c r="L4" s="276"/>
      <c r="M4" s="152"/>
      <c r="N4" s="152"/>
    </row>
    <row r="5" spans="1:14" ht="6" customHeight="1" x14ac:dyDescent="0.2">
      <c r="A5" s="152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</row>
    <row r="6" spans="1:14" ht="17.25" customHeight="1" x14ac:dyDescent="0.2">
      <c r="A6" s="152"/>
      <c r="B6" s="277" t="s">
        <v>57</v>
      </c>
      <c r="C6" s="279" t="s">
        <v>58</v>
      </c>
      <c r="D6" s="153" t="s">
        <v>83</v>
      </c>
      <c r="E6" s="84">
        <v>3.5000000000000003E-2</v>
      </c>
      <c r="F6" s="154"/>
      <c r="G6" s="152"/>
      <c r="H6" s="282" t="s">
        <v>59</v>
      </c>
      <c r="I6" s="283"/>
      <c r="J6" s="284"/>
      <c r="K6" s="288">
        <f>1/(1-(E15+E18+E20))</f>
        <v>2.2471910112359548</v>
      </c>
      <c r="L6" s="288"/>
      <c r="M6" s="152"/>
      <c r="N6" s="152"/>
    </row>
    <row r="7" spans="1:14" ht="17.25" customHeight="1" x14ac:dyDescent="0.2">
      <c r="A7" s="152"/>
      <c r="B7" s="277"/>
      <c r="C7" s="280"/>
      <c r="D7" s="153" t="s">
        <v>60</v>
      </c>
      <c r="E7" s="84"/>
      <c r="F7" s="154"/>
      <c r="G7" s="152"/>
      <c r="H7" s="285"/>
      <c r="I7" s="286"/>
      <c r="J7" s="287"/>
      <c r="K7" s="288"/>
      <c r="L7" s="288"/>
      <c r="M7" s="152"/>
      <c r="N7" s="152"/>
    </row>
    <row r="8" spans="1:14" ht="17.25" customHeight="1" x14ac:dyDescent="0.2">
      <c r="A8" s="152"/>
      <c r="B8" s="277"/>
      <c r="C8" s="280"/>
      <c r="D8" s="153" t="s">
        <v>61</v>
      </c>
      <c r="E8" s="84"/>
      <c r="F8" s="154"/>
      <c r="G8" s="152"/>
      <c r="H8" s="152"/>
      <c r="I8" s="152"/>
      <c r="J8" s="152"/>
      <c r="K8" s="152"/>
      <c r="L8" s="152"/>
      <c r="M8" s="152"/>
      <c r="N8" s="152"/>
    </row>
    <row r="9" spans="1:14" ht="17.25" customHeight="1" x14ac:dyDescent="0.2">
      <c r="A9" s="152"/>
      <c r="B9" s="277"/>
      <c r="C9" s="281"/>
      <c r="D9" s="153" t="s">
        <v>62</v>
      </c>
      <c r="E9" s="84"/>
      <c r="F9" s="154"/>
      <c r="G9" s="152"/>
      <c r="H9" s="264" t="s">
        <v>63</v>
      </c>
      <c r="I9" s="265"/>
      <c r="J9" s="265"/>
      <c r="K9" s="265"/>
      <c r="L9" s="265"/>
      <c r="M9" s="152"/>
      <c r="N9" s="152"/>
    </row>
    <row r="10" spans="1:14" ht="17.25" customHeight="1" x14ac:dyDescent="0.2">
      <c r="A10" s="152"/>
      <c r="B10" s="277"/>
      <c r="C10" s="279" t="s">
        <v>64</v>
      </c>
      <c r="D10" s="153" t="s">
        <v>65</v>
      </c>
      <c r="E10" s="84">
        <v>0.02</v>
      </c>
      <c r="F10" s="154"/>
      <c r="G10" s="152"/>
      <c r="H10" s="266" t="s">
        <v>66</v>
      </c>
      <c r="I10" s="267"/>
      <c r="J10" s="268" t="s">
        <v>67</v>
      </c>
      <c r="K10" s="264"/>
      <c r="L10" s="264"/>
      <c r="M10" s="152"/>
      <c r="N10" s="152"/>
    </row>
    <row r="11" spans="1:14" ht="17.25" customHeight="1" thickBot="1" x14ac:dyDescent="0.25">
      <c r="A11" s="152"/>
      <c r="B11" s="277"/>
      <c r="C11" s="280"/>
      <c r="D11" s="153" t="s">
        <v>68</v>
      </c>
      <c r="E11" s="84"/>
      <c r="F11" s="155"/>
      <c r="G11" s="152"/>
      <c r="H11" s="266"/>
      <c r="I11" s="267"/>
      <c r="J11" s="290" t="s">
        <v>69</v>
      </c>
      <c r="K11" s="247"/>
      <c r="L11" s="156" t="s">
        <v>70</v>
      </c>
      <c r="M11" s="152"/>
      <c r="N11" s="152"/>
    </row>
    <row r="12" spans="1:14" ht="17.25" customHeight="1" thickTop="1" x14ac:dyDescent="0.2">
      <c r="A12" s="152"/>
      <c r="B12" s="277"/>
      <c r="C12" s="280"/>
      <c r="D12" s="153" t="s">
        <v>71</v>
      </c>
      <c r="E12" s="84"/>
      <c r="F12" s="155"/>
      <c r="G12" s="152"/>
      <c r="H12" s="291">
        <f>($E$23+$F$15)*K6</f>
        <v>22.471910112359549</v>
      </c>
      <c r="I12" s="292"/>
      <c r="J12" s="250">
        <f>IF(H12&lt;&gt;"0",(H12-(H12*($E$15+$E$18))-$E$23-$F$15))</f>
        <v>4.4943820224719104</v>
      </c>
      <c r="K12" s="251"/>
      <c r="L12" s="233">
        <f>J12/H12</f>
        <v>0.20000000000000004</v>
      </c>
      <c r="M12" s="152"/>
      <c r="N12" s="152"/>
    </row>
    <row r="13" spans="1:14" ht="17.25" customHeight="1" x14ac:dyDescent="0.2">
      <c r="A13" s="152"/>
      <c r="B13" s="277"/>
      <c r="C13" s="280"/>
      <c r="D13" s="153"/>
      <c r="E13" s="84"/>
      <c r="F13" s="155"/>
      <c r="G13" s="152"/>
      <c r="H13" s="291"/>
      <c r="I13" s="292"/>
      <c r="J13" s="252"/>
      <c r="K13" s="253"/>
      <c r="L13" s="234"/>
      <c r="M13" s="152"/>
      <c r="N13" s="152"/>
    </row>
    <row r="14" spans="1:14" ht="17.25" customHeight="1" thickBot="1" x14ac:dyDescent="0.25">
      <c r="A14" s="152"/>
      <c r="B14" s="277"/>
      <c r="C14" s="289"/>
      <c r="D14" s="157" t="s">
        <v>64</v>
      </c>
      <c r="E14" s="85"/>
      <c r="F14" s="158"/>
      <c r="G14" s="152"/>
      <c r="H14" s="152"/>
      <c r="I14" s="152"/>
      <c r="J14" s="152"/>
      <c r="K14" s="152"/>
      <c r="L14" s="152"/>
      <c r="M14" s="152"/>
      <c r="N14" s="152"/>
    </row>
    <row r="15" spans="1:14" ht="17.25" customHeight="1" thickTop="1" x14ac:dyDescent="0.2">
      <c r="A15" s="152"/>
      <c r="B15" s="277"/>
      <c r="C15" s="269" t="s">
        <v>72</v>
      </c>
      <c r="D15" s="269"/>
      <c r="E15" s="271">
        <f>SUM(E6:E14)</f>
        <v>5.5000000000000007E-2</v>
      </c>
      <c r="F15" s="273">
        <f>SUM(F11:F14)</f>
        <v>0</v>
      </c>
      <c r="G15" s="152"/>
      <c r="H15" s="264" t="s">
        <v>73</v>
      </c>
      <c r="I15" s="265"/>
      <c r="J15" s="265"/>
      <c r="K15" s="265"/>
      <c r="L15" s="265"/>
      <c r="M15" s="152"/>
      <c r="N15" s="152"/>
    </row>
    <row r="16" spans="1:14" ht="17.25" customHeight="1" x14ac:dyDescent="0.2">
      <c r="A16" s="152"/>
      <c r="B16" s="278"/>
      <c r="C16" s="270"/>
      <c r="D16" s="270"/>
      <c r="E16" s="272"/>
      <c r="F16" s="274"/>
      <c r="G16" s="152"/>
      <c r="H16" s="266" t="s">
        <v>74</v>
      </c>
      <c r="I16" s="267"/>
      <c r="J16" s="268" t="s">
        <v>67</v>
      </c>
      <c r="K16" s="264"/>
      <c r="L16" s="264"/>
      <c r="M16" s="152"/>
      <c r="N16" s="152"/>
    </row>
    <row r="17" spans="1:14" ht="17.25" customHeight="1" thickBot="1" x14ac:dyDescent="0.25">
      <c r="A17" s="152"/>
      <c r="B17" s="159"/>
      <c r="C17" s="160"/>
      <c r="D17" s="160"/>
      <c r="E17" s="161"/>
      <c r="F17" s="162"/>
      <c r="G17" s="152"/>
      <c r="H17" s="245">
        <v>0</v>
      </c>
      <c r="I17" s="246"/>
      <c r="J17" s="247" t="s">
        <v>69</v>
      </c>
      <c r="K17" s="248"/>
      <c r="L17" s="156" t="s">
        <v>70</v>
      </c>
      <c r="M17" s="152"/>
      <c r="N17" s="152"/>
    </row>
    <row r="18" spans="1:14" ht="17.25" customHeight="1" thickTop="1" x14ac:dyDescent="0.2">
      <c r="A18" s="152"/>
      <c r="B18" s="254" t="s">
        <v>75</v>
      </c>
      <c r="C18" s="255"/>
      <c r="D18" s="256"/>
      <c r="E18" s="261">
        <v>0.3</v>
      </c>
      <c r="F18" s="263"/>
      <c r="G18" s="152"/>
      <c r="H18" s="245"/>
      <c r="I18" s="246"/>
      <c r="J18" s="250">
        <f>IF(H17&lt;&gt;"0",(H17-(H17*($E$15+$E$18))-$E$23-$F$15))</f>
        <v>-10</v>
      </c>
      <c r="K18" s="251"/>
      <c r="L18" s="233" t="e">
        <f>J18/H17</f>
        <v>#DIV/0!</v>
      </c>
      <c r="M18" s="152"/>
      <c r="N18" s="152"/>
    </row>
    <row r="19" spans="1:14" ht="17.25" customHeight="1" x14ac:dyDescent="0.2">
      <c r="A19" s="152"/>
      <c r="B19" s="257"/>
      <c r="C19" s="258"/>
      <c r="D19" s="259"/>
      <c r="E19" s="261"/>
      <c r="F19" s="263"/>
      <c r="G19" s="152"/>
      <c r="H19" s="236">
        <f>H17/K6</f>
        <v>0</v>
      </c>
      <c r="I19" s="237"/>
      <c r="J19" s="252"/>
      <c r="K19" s="253"/>
      <c r="L19" s="234"/>
      <c r="M19" s="152"/>
      <c r="N19" s="152"/>
    </row>
    <row r="20" spans="1:14" ht="17.25" customHeight="1" x14ac:dyDescent="0.2">
      <c r="A20" s="152"/>
      <c r="B20" s="254" t="s">
        <v>67</v>
      </c>
      <c r="C20" s="255"/>
      <c r="D20" s="256"/>
      <c r="E20" s="260">
        <v>0.2</v>
      </c>
      <c r="F20" s="262"/>
      <c r="G20" s="152"/>
      <c r="H20" s="152"/>
      <c r="I20" s="152"/>
      <c r="J20" s="163"/>
      <c r="K20" s="163"/>
      <c r="L20" s="164"/>
      <c r="M20" s="152"/>
      <c r="N20" s="152"/>
    </row>
    <row r="21" spans="1:14" ht="17.25" customHeight="1" x14ac:dyDescent="0.2">
      <c r="A21" s="152"/>
      <c r="B21" s="257"/>
      <c r="C21" s="258"/>
      <c r="D21" s="259"/>
      <c r="E21" s="261"/>
      <c r="F21" s="263"/>
      <c r="G21" s="152"/>
      <c r="H21" s="264" t="s">
        <v>76</v>
      </c>
      <c r="I21" s="265"/>
      <c r="J21" s="265"/>
      <c r="K21" s="265"/>
      <c r="L21" s="265"/>
      <c r="M21" s="152"/>
      <c r="N21" s="152"/>
    </row>
    <row r="22" spans="1:14" ht="17.25" customHeight="1" x14ac:dyDescent="0.2">
      <c r="A22" s="152"/>
      <c r="B22" s="152"/>
      <c r="C22" s="152"/>
      <c r="D22" s="152"/>
      <c r="E22" s="152"/>
      <c r="F22" s="152"/>
      <c r="G22" s="152"/>
      <c r="H22" s="266" t="s">
        <v>77</v>
      </c>
      <c r="I22" s="267"/>
      <c r="J22" s="268" t="s">
        <v>67</v>
      </c>
      <c r="K22" s="264"/>
      <c r="L22" s="264"/>
      <c r="M22" s="152"/>
      <c r="N22" s="152"/>
    </row>
    <row r="23" spans="1:14" ht="17.25" customHeight="1" thickBot="1" x14ac:dyDescent="0.25">
      <c r="A23" s="152"/>
      <c r="B23" s="238" t="s">
        <v>78</v>
      </c>
      <c r="C23" s="239"/>
      <c r="D23" s="165" t="s">
        <v>79</v>
      </c>
      <c r="E23" s="244">
        <v>10</v>
      </c>
      <c r="F23" s="244"/>
      <c r="G23" s="152"/>
      <c r="H23" s="245"/>
      <c r="I23" s="246"/>
      <c r="J23" s="247" t="s">
        <v>69</v>
      </c>
      <c r="K23" s="248"/>
      <c r="L23" s="156" t="s">
        <v>70</v>
      </c>
      <c r="M23" s="152"/>
      <c r="N23" s="152"/>
    </row>
    <row r="24" spans="1:14" ht="17.25" customHeight="1" thickTop="1" thickBot="1" x14ac:dyDescent="0.25">
      <c r="A24" s="152"/>
      <c r="B24" s="240"/>
      <c r="C24" s="241"/>
      <c r="D24" s="166" t="s">
        <v>80</v>
      </c>
      <c r="E24" s="249"/>
      <c r="F24" s="249"/>
      <c r="G24" s="152"/>
      <c r="H24" s="245"/>
      <c r="I24" s="246"/>
      <c r="J24" s="250">
        <f>IF(H23&lt;&gt;"0",(H23-(H23*($E$15+$E$18))-$E$23-$F$15))</f>
        <v>-10</v>
      </c>
      <c r="K24" s="251"/>
      <c r="L24" s="233" t="e">
        <f>J24/H23</f>
        <v>#DIV/0!</v>
      </c>
      <c r="M24" s="152"/>
      <c r="N24" s="152"/>
    </row>
    <row r="25" spans="1:14" ht="17.25" customHeight="1" thickTop="1" x14ac:dyDescent="0.2">
      <c r="A25" s="152"/>
      <c r="B25" s="242"/>
      <c r="C25" s="243"/>
      <c r="D25" s="167" t="s">
        <v>81</v>
      </c>
      <c r="E25" s="235">
        <f>SUM(E23:E24)</f>
        <v>10</v>
      </c>
      <c r="F25" s="235"/>
      <c r="G25" s="152"/>
      <c r="H25" s="236">
        <f>H23/K6</f>
        <v>0</v>
      </c>
      <c r="I25" s="237"/>
      <c r="J25" s="252"/>
      <c r="K25" s="253"/>
      <c r="L25" s="234"/>
      <c r="M25" s="152"/>
      <c r="N25" s="152"/>
    </row>
    <row r="26" spans="1:14" ht="6" customHeight="1" x14ac:dyDescent="0.2">
      <c r="A26" s="152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</row>
    <row r="27" spans="1:14" x14ac:dyDescent="0.2">
      <c r="A27" s="152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2"/>
      <c r="N27" s="152"/>
    </row>
    <row r="28" spans="1:14" x14ac:dyDescent="0.2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</row>
    <row r="29" spans="1:14" x14ac:dyDescent="0.2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</row>
    <row r="30" spans="1:14" x14ac:dyDescent="0.2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</row>
  </sheetData>
  <sheetProtection algorithmName="SHA-512" hashValue="2+XVOFTksyXOUWVpIDl6vvi/LQDLBXO9GiobdgEzsYU0q/TJb7CSnqRgi43sROgH1dlDx4krehRj92bz2TZF6Q==" saltValue="GS3Es222z3S3ITitululDA==" spinCount="100000" sheet="1" selectLockedCells="1"/>
  <mergeCells count="44">
    <mergeCell ref="B2:L2"/>
    <mergeCell ref="B4:F4"/>
    <mergeCell ref="H4:L4"/>
    <mergeCell ref="B6:B16"/>
    <mergeCell ref="C6:C9"/>
    <mergeCell ref="H6:J7"/>
    <mergeCell ref="K6:L7"/>
    <mergeCell ref="H9:L9"/>
    <mergeCell ref="C10:C14"/>
    <mergeCell ref="H10:I11"/>
    <mergeCell ref="J10:L10"/>
    <mergeCell ref="J11:K11"/>
    <mergeCell ref="H12:I13"/>
    <mergeCell ref="J12:K13"/>
    <mergeCell ref="L12:L13"/>
    <mergeCell ref="J16:L16"/>
    <mergeCell ref="L18:L19"/>
    <mergeCell ref="H19:I19"/>
    <mergeCell ref="C15:D16"/>
    <mergeCell ref="E15:E16"/>
    <mergeCell ref="F15:F16"/>
    <mergeCell ref="H15:L15"/>
    <mergeCell ref="H16:I16"/>
    <mergeCell ref="H17:I18"/>
    <mergeCell ref="J17:K17"/>
    <mergeCell ref="B18:D19"/>
    <mergeCell ref="E18:E19"/>
    <mergeCell ref="F18:F19"/>
    <mergeCell ref="J18:K19"/>
    <mergeCell ref="B20:D21"/>
    <mergeCell ref="E20:E21"/>
    <mergeCell ref="F20:F21"/>
    <mergeCell ref="H21:L21"/>
    <mergeCell ref="H22:I22"/>
    <mergeCell ref="J22:L22"/>
    <mergeCell ref="L24:L25"/>
    <mergeCell ref="E25:F25"/>
    <mergeCell ref="H25:I25"/>
    <mergeCell ref="B23:C25"/>
    <mergeCell ref="E23:F23"/>
    <mergeCell ref="H23:I24"/>
    <mergeCell ref="J23:K23"/>
    <mergeCell ref="E24:F24"/>
    <mergeCell ref="J24:K25"/>
  </mergeCells>
  <pageMargins left="0.78740157499999996" right="0.78740157499999996" top="0.984251969" bottom="0.984251969" header="0.49212598499999999" footer="0.49212598499999999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CX135"/>
  <sheetViews>
    <sheetView showGridLines="0" tabSelected="1" workbookViewId="0">
      <pane xSplit="3" ySplit="3" topLeftCell="D4" activePane="bottomRight" state="frozen"/>
      <selection pane="topRight" activeCell="B1" sqref="B1"/>
      <selection pane="bottomLeft" activeCell="A3" sqref="A3"/>
      <selection pane="bottomRight" activeCell="C90" sqref="C90"/>
    </sheetView>
  </sheetViews>
  <sheetFormatPr defaultColWidth="9.109375" defaultRowHeight="14.4" x14ac:dyDescent="0.3"/>
  <cols>
    <col min="1" max="1" width="2.44140625" customWidth="1"/>
    <col min="2" max="2" width="5.5546875" style="14" customWidth="1"/>
    <col min="3" max="3" width="70.44140625" style="14" bestFit="1" customWidth="1"/>
    <col min="4" max="4" width="19.44140625" style="36" customWidth="1"/>
    <col min="5" max="5" width="16" style="134" customWidth="1"/>
    <col min="6" max="6" width="16.109375" style="40" customWidth="1"/>
    <col min="7" max="7" width="2.109375" style="14" customWidth="1"/>
    <col min="8" max="8" width="13.44140625" style="41" customWidth="1"/>
    <col min="9" max="9" width="1.109375" style="14" customWidth="1"/>
    <col min="10" max="10" width="13.44140625" style="14" customWidth="1"/>
    <col min="11" max="11" width="1.109375" style="14" customWidth="1"/>
    <col min="12" max="12" width="9.109375" style="14" customWidth="1"/>
    <col min="13" max="13" width="1.33203125" style="14" customWidth="1"/>
    <col min="14" max="14" width="9.88671875" style="14" customWidth="1"/>
    <col min="15" max="15" width="2.109375" style="14" customWidth="1"/>
    <col min="16" max="16" width="14.44140625" style="43" customWidth="1"/>
    <col min="17" max="17" width="1.109375" style="43" customWidth="1"/>
    <col min="18" max="18" width="13.44140625" style="43" customWidth="1"/>
    <col min="19" max="19" width="1.109375" style="43" customWidth="1"/>
    <col min="20" max="20" width="8.88671875" style="43" customWidth="1"/>
    <col min="21" max="21" width="1.109375" style="14" customWidth="1"/>
    <col min="22" max="22" width="12.5546875" style="14" customWidth="1"/>
    <col min="23" max="23" width="2.109375" style="14" customWidth="1"/>
    <col min="24" max="24" width="13.44140625" style="43" customWidth="1"/>
    <col min="25" max="25" width="1" style="43" customWidth="1"/>
    <col min="26" max="26" width="13.44140625" style="43" customWidth="1"/>
    <col min="27" max="27" width="1" style="43" customWidth="1"/>
    <col min="28" max="28" width="8.6640625" style="43" customWidth="1"/>
    <col min="29" max="29" width="1.109375" style="43" customWidth="1"/>
    <col min="30" max="30" width="9.88671875" style="14" customWidth="1"/>
    <col min="31" max="31" width="2.109375" style="14" customWidth="1"/>
    <col min="32" max="32" width="13.44140625" style="43" customWidth="1"/>
    <col min="33" max="33" width="1.33203125" style="43" customWidth="1"/>
    <col min="34" max="34" width="14.77734375" style="43" bestFit="1" customWidth="1"/>
    <col min="35" max="35" width="1.109375" style="43" customWidth="1"/>
    <col min="36" max="36" width="8.33203125" style="43" customWidth="1"/>
    <col min="37" max="37" width="1.44140625" style="14" customWidth="1"/>
    <col min="38" max="38" width="9.33203125" style="14" customWidth="1"/>
    <col min="39" max="39" width="2.109375" style="14" customWidth="1"/>
    <col min="40" max="40" width="13.44140625" style="41" customWidth="1"/>
    <col min="41" max="41" width="1.33203125" style="41" customWidth="1"/>
    <col min="42" max="42" width="13.44140625" style="41" customWidth="1"/>
    <col min="43" max="43" width="1.109375" style="41" customWidth="1"/>
    <col min="44" max="44" width="8.44140625" style="41" customWidth="1"/>
    <col min="45" max="45" width="1.33203125" style="14" customWidth="1"/>
    <col min="46" max="46" width="10.6640625" style="14" customWidth="1"/>
    <col min="47" max="47" width="2.109375" style="14" customWidth="1"/>
    <col min="48" max="48" width="13.44140625" style="43" customWidth="1"/>
    <col min="49" max="49" width="1.5546875" style="43" customWidth="1"/>
    <col min="50" max="50" width="13.44140625" style="43" customWidth="1"/>
    <col min="51" max="51" width="1.109375" style="43" customWidth="1"/>
    <col min="52" max="52" width="9.6640625" style="43" customWidth="1"/>
    <col min="53" max="53" width="1" style="14" customWidth="1"/>
    <col min="54" max="54" width="9.109375" style="14" customWidth="1"/>
    <col min="55" max="55" width="2.109375" style="14" customWidth="1"/>
    <col min="56" max="56" width="14.109375" style="43" customWidth="1"/>
    <col min="57" max="57" width="1.109375" style="43" customWidth="1"/>
    <col min="58" max="58" width="13.44140625" style="43" customWidth="1"/>
    <col min="59" max="59" width="1.109375" style="43" customWidth="1"/>
    <col min="60" max="60" width="7.88671875" style="43" customWidth="1"/>
    <col min="61" max="61" width="1" style="14" customWidth="1"/>
    <col min="62" max="62" width="10.109375" style="14" customWidth="1"/>
    <col min="63" max="63" width="2.109375" style="14" customWidth="1"/>
    <col min="64" max="64" width="13.44140625" style="41" bestFit="1" customWidth="1"/>
    <col min="65" max="65" width="1.33203125" style="41" customWidth="1"/>
    <col min="66" max="66" width="13.44140625" style="41" bestFit="1" customWidth="1"/>
    <col min="67" max="67" width="1" style="41" customWidth="1"/>
    <col min="68" max="68" width="8.6640625" style="41" bestFit="1" customWidth="1"/>
    <col min="69" max="69" width="1.109375" style="14" customWidth="1"/>
    <col min="70" max="70" width="9" style="14" customWidth="1"/>
    <col min="71" max="71" width="2.109375" style="14" customWidth="1"/>
    <col min="72" max="72" width="13.44140625" style="41" bestFit="1" customWidth="1"/>
    <col min="73" max="73" width="1.33203125" style="41" customWidth="1"/>
    <col min="74" max="74" width="13" style="41" customWidth="1"/>
    <col min="75" max="75" width="1" style="41" customWidth="1"/>
    <col min="76" max="76" width="8.88671875" style="41" bestFit="1" customWidth="1"/>
    <col min="77" max="77" width="1.109375" style="14" customWidth="1"/>
    <col min="78" max="78" width="9.109375" style="14" customWidth="1"/>
    <col min="79" max="79" width="2.109375" style="14" customWidth="1"/>
    <col min="80" max="80" width="13.44140625" style="43" bestFit="1" customWidth="1"/>
    <col min="81" max="81" width="1.109375" style="43" customWidth="1"/>
    <col min="82" max="82" width="13" style="43" customWidth="1"/>
    <col min="83" max="83" width="1" style="43" customWidth="1"/>
    <col min="84" max="84" width="8.88671875" style="43" bestFit="1" customWidth="1"/>
    <col min="85" max="85" width="1" style="14" customWidth="1"/>
    <col min="86" max="86" width="10.6640625" style="14" customWidth="1"/>
    <col min="87" max="87" width="2.109375" style="14" customWidth="1"/>
    <col min="88" max="88" width="13.44140625" style="41" bestFit="1" customWidth="1"/>
    <col min="89" max="89" width="1" style="41" customWidth="1"/>
    <col min="90" max="90" width="13.44140625" style="41" bestFit="1" customWidth="1"/>
    <col min="91" max="91" width="1" style="41" customWidth="1"/>
    <col min="92" max="92" width="8.88671875" style="41" bestFit="1" customWidth="1"/>
    <col min="93" max="93" width="1.109375" style="14" customWidth="1"/>
    <col min="94" max="94" width="9.6640625" style="14" bestFit="1" customWidth="1"/>
    <col min="95" max="95" width="2.109375" style="14" customWidth="1"/>
    <col min="96" max="96" width="13.44140625" style="43" bestFit="1" customWidth="1"/>
    <col min="97" max="97" width="1.109375" style="43" customWidth="1"/>
    <col min="98" max="98" width="13.44140625" style="43" bestFit="1" customWidth="1"/>
    <col min="99" max="99" width="1.109375" style="43" customWidth="1"/>
    <col min="100" max="100" width="9.109375" style="43" customWidth="1"/>
    <col min="101" max="101" width="1.109375" style="14" customWidth="1"/>
    <col min="102" max="102" width="9.109375" style="14" customWidth="1"/>
    <col min="103" max="103" width="1.6640625" style="14" customWidth="1"/>
    <col min="104" max="106" width="9.109375" style="14"/>
    <col min="107" max="107" width="9.109375" style="14" customWidth="1"/>
    <col min="108" max="114" width="9.109375" style="14"/>
    <col min="115" max="115" width="9.109375" style="14" customWidth="1"/>
    <col min="116" max="122" width="9.109375" style="14"/>
    <col min="123" max="123" width="9.109375" style="14" customWidth="1"/>
    <col min="124" max="130" width="9.109375" style="14"/>
    <col min="131" max="131" width="9.109375" style="14" customWidth="1"/>
    <col min="132" max="138" width="9.109375" style="14"/>
    <col min="139" max="139" width="9.109375" style="14" customWidth="1"/>
    <col min="140" max="146" width="9.109375" style="14"/>
    <col min="147" max="147" width="9.109375" style="14" customWidth="1"/>
    <col min="148" max="16384" width="9.109375" style="14"/>
  </cols>
  <sheetData>
    <row r="1" spans="1:102" customFormat="1" ht="10.5" customHeight="1" thickBot="1" x14ac:dyDescent="0.35">
      <c r="D1" s="1"/>
      <c r="E1" s="123"/>
      <c r="F1" s="2"/>
      <c r="H1" s="3"/>
      <c r="P1" s="4"/>
      <c r="Q1" s="4"/>
      <c r="R1" s="4"/>
      <c r="S1" s="4"/>
      <c r="T1" s="4"/>
      <c r="X1" s="4"/>
      <c r="Y1" s="4"/>
      <c r="Z1" s="4"/>
      <c r="AA1" s="4"/>
      <c r="AB1" s="4"/>
      <c r="AC1" s="4"/>
      <c r="AF1" s="4"/>
      <c r="AG1" s="4"/>
      <c r="AH1" s="4"/>
      <c r="AI1" s="4"/>
      <c r="AJ1" s="4"/>
      <c r="AN1" s="3"/>
      <c r="AO1" s="3"/>
      <c r="AP1" s="3"/>
      <c r="AQ1" s="3"/>
      <c r="AR1" s="3"/>
      <c r="AV1" s="4"/>
      <c r="AW1" s="4"/>
      <c r="AX1" s="4"/>
      <c r="AY1" s="4"/>
      <c r="AZ1" s="4"/>
      <c r="BD1" s="4"/>
      <c r="BE1" s="4"/>
      <c r="BF1" s="4"/>
      <c r="BG1" s="4"/>
      <c r="BH1" s="4"/>
      <c r="BL1" s="3"/>
      <c r="BM1" s="3"/>
      <c r="BN1" s="3"/>
      <c r="BO1" s="3"/>
      <c r="BP1" s="3"/>
      <c r="BT1" s="3"/>
      <c r="BU1" s="3"/>
      <c r="BV1" s="3"/>
      <c r="BW1" s="3"/>
      <c r="BX1" s="3"/>
      <c r="CB1" s="4"/>
      <c r="CC1" s="4"/>
      <c r="CD1" s="4"/>
      <c r="CE1" s="4"/>
      <c r="CF1" s="4"/>
      <c r="CJ1" s="3"/>
      <c r="CK1" s="3"/>
      <c r="CL1" s="3"/>
      <c r="CM1" s="3"/>
      <c r="CN1" s="3"/>
      <c r="CR1" s="4"/>
      <c r="CS1" s="4"/>
      <c r="CT1" s="4"/>
      <c r="CU1" s="4"/>
      <c r="CV1" s="4"/>
    </row>
    <row r="2" spans="1:102" customFormat="1" ht="49.5" customHeight="1" thickBot="1" x14ac:dyDescent="0.35">
      <c r="B2" s="222" t="s">
        <v>154</v>
      </c>
      <c r="C2" s="223"/>
      <c r="D2" s="226" t="s">
        <v>49</v>
      </c>
      <c r="E2" s="226" t="s">
        <v>50</v>
      </c>
      <c r="F2" s="228" t="s">
        <v>51</v>
      </c>
      <c r="H2" s="218" t="s">
        <v>0</v>
      </c>
      <c r="I2" s="219"/>
      <c r="J2" s="219"/>
      <c r="K2" s="219"/>
      <c r="L2" s="219"/>
      <c r="M2" s="219"/>
      <c r="N2" s="220"/>
      <c r="P2" s="215" t="s">
        <v>1</v>
      </c>
      <c r="Q2" s="216"/>
      <c r="R2" s="216"/>
      <c r="S2" s="216"/>
      <c r="T2" s="216"/>
      <c r="U2" s="216"/>
      <c r="V2" s="217"/>
      <c r="X2" s="215" t="s">
        <v>2</v>
      </c>
      <c r="Y2" s="216"/>
      <c r="Z2" s="216"/>
      <c r="AA2" s="216"/>
      <c r="AB2" s="216"/>
      <c r="AC2" s="216"/>
      <c r="AD2" s="217"/>
      <c r="AF2" s="215" t="s">
        <v>3</v>
      </c>
      <c r="AG2" s="216"/>
      <c r="AH2" s="216"/>
      <c r="AI2" s="216"/>
      <c r="AJ2" s="216"/>
      <c r="AK2" s="216"/>
      <c r="AL2" s="217"/>
      <c r="AN2" s="218" t="s">
        <v>4</v>
      </c>
      <c r="AO2" s="219"/>
      <c r="AP2" s="219"/>
      <c r="AQ2" s="219"/>
      <c r="AR2" s="219"/>
      <c r="AS2" s="219"/>
      <c r="AT2" s="220"/>
      <c r="AV2" s="215" t="s">
        <v>5</v>
      </c>
      <c r="AW2" s="216"/>
      <c r="AX2" s="216"/>
      <c r="AY2" s="216"/>
      <c r="AZ2" s="216"/>
      <c r="BA2" s="216"/>
      <c r="BB2" s="217"/>
      <c r="BD2" s="215" t="s">
        <v>6</v>
      </c>
      <c r="BE2" s="216"/>
      <c r="BF2" s="216"/>
      <c r="BG2" s="216"/>
      <c r="BH2" s="216"/>
      <c r="BI2" s="216"/>
      <c r="BJ2" s="217"/>
      <c r="BL2" s="218" t="s">
        <v>7</v>
      </c>
      <c r="BM2" s="219"/>
      <c r="BN2" s="219"/>
      <c r="BO2" s="219"/>
      <c r="BP2" s="219"/>
      <c r="BQ2" s="219"/>
      <c r="BR2" s="220"/>
      <c r="BT2" s="218" t="s">
        <v>8</v>
      </c>
      <c r="BU2" s="219"/>
      <c r="BV2" s="219"/>
      <c r="BW2" s="219"/>
      <c r="BX2" s="219"/>
      <c r="BY2" s="219"/>
      <c r="BZ2" s="220"/>
      <c r="CB2" s="215" t="s">
        <v>9</v>
      </c>
      <c r="CC2" s="216"/>
      <c r="CD2" s="216"/>
      <c r="CE2" s="216"/>
      <c r="CF2" s="216"/>
      <c r="CG2" s="216"/>
      <c r="CH2" s="217"/>
      <c r="CJ2" s="218" t="s">
        <v>10</v>
      </c>
      <c r="CK2" s="219"/>
      <c r="CL2" s="219"/>
      <c r="CM2" s="219"/>
      <c r="CN2" s="219"/>
      <c r="CO2" s="219"/>
      <c r="CP2" s="220"/>
      <c r="CR2" s="215" t="s">
        <v>11</v>
      </c>
      <c r="CS2" s="216"/>
      <c r="CT2" s="216"/>
      <c r="CU2" s="216"/>
      <c r="CV2" s="216"/>
      <c r="CW2" s="216"/>
      <c r="CX2" s="217"/>
    </row>
    <row r="3" spans="1:102" customFormat="1" ht="31.8" thickBot="1" x14ac:dyDescent="0.35">
      <c r="B3" s="224"/>
      <c r="C3" s="225"/>
      <c r="D3" s="227"/>
      <c r="E3" s="227"/>
      <c r="F3" s="229"/>
      <c r="H3" s="86" t="s">
        <v>84</v>
      </c>
      <c r="I3" s="87"/>
      <c r="J3" s="88" t="s">
        <v>12</v>
      </c>
      <c r="K3" s="87"/>
      <c r="L3" s="88" t="s">
        <v>85</v>
      </c>
      <c r="M3" s="87"/>
      <c r="N3" s="88" t="s">
        <v>86</v>
      </c>
      <c r="P3" s="86" t="s">
        <v>84</v>
      </c>
      <c r="Q3" s="87"/>
      <c r="R3" s="88" t="s">
        <v>12</v>
      </c>
      <c r="S3" s="87"/>
      <c r="T3" s="88" t="s">
        <v>85</v>
      </c>
      <c r="U3" s="87"/>
      <c r="V3" s="88" t="s">
        <v>86</v>
      </c>
      <c r="X3" s="86" t="s">
        <v>84</v>
      </c>
      <c r="Y3" s="87"/>
      <c r="Z3" s="88" t="s">
        <v>12</v>
      </c>
      <c r="AA3" s="87"/>
      <c r="AB3" s="88" t="s">
        <v>85</v>
      </c>
      <c r="AC3" s="87"/>
      <c r="AD3" s="88" t="s">
        <v>86</v>
      </c>
      <c r="AF3" s="86" t="s">
        <v>84</v>
      </c>
      <c r="AG3" s="87"/>
      <c r="AH3" s="88" t="s">
        <v>12</v>
      </c>
      <c r="AI3" s="87"/>
      <c r="AJ3" s="88" t="s">
        <v>85</v>
      </c>
      <c r="AK3" s="87"/>
      <c r="AL3" s="88" t="s">
        <v>86</v>
      </c>
      <c r="AN3" s="86" t="s">
        <v>84</v>
      </c>
      <c r="AO3" s="87"/>
      <c r="AP3" s="88" t="s">
        <v>12</v>
      </c>
      <c r="AQ3" s="87"/>
      <c r="AR3" s="88" t="s">
        <v>85</v>
      </c>
      <c r="AS3" s="87"/>
      <c r="AT3" s="88" t="s">
        <v>86</v>
      </c>
      <c r="AV3" s="86" t="s">
        <v>84</v>
      </c>
      <c r="AW3" s="87"/>
      <c r="AX3" s="88" t="s">
        <v>12</v>
      </c>
      <c r="AY3" s="87"/>
      <c r="AZ3" s="88" t="s">
        <v>85</v>
      </c>
      <c r="BA3" s="87"/>
      <c r="BB3" s="88" t="s">
        <v>86</v>
      </c>
      <c r="BD3" s="86" t="s">
        <v>84</v>
      </c>
      <c r="BE3" s="87"/>
      <c r="BF3" s="88" t="s">
        <v>12</v>
      </c>
      <c r="BG3" s="87"/>
      <c r="BH3" s="88" t="s">
        <v>85</v>
      </c>
      <c r="BI3" s="87"/>
      <c r="BJ3" s="88" t="s">
        <v>86</v>
      </c>
      <c r="BL3" s="86" t="s">
        <v>84</v>
      </c>
      <c r="BM3" s="87"/>
      <c r="BN3" s="88" t="s">
        <v>12</v>
      </c>
      <c r="BO3" s="87"/>
      <c r="BP3" s="88" t="s">
        <v>85</v>
      </c>
      <c r="BQ3" s="87"/>
      <c r="BR3" s="88" t="s">
        <v>86</v>
      </c>
      <c r="BT3" s="86" t="s">
        <v>84</v>
      </c>
      <c r="BU3" s="87"/>
      <c r="BV3" s="88" t="s">
        <v>12</v>
      </c>
      <c r="BW3" s="87"/>
      <c r="BX3" s="88" t="s">
        <v>85</v>
      </c>
      <c r="BY3" s="87"/>
      <c r="BZ3" s="88" t="s">
        <v>86</v>
      </c>
      <c r="CB3" s="86" t="s">
        <v>84</v>
      </c>
      <c r="CC3" s="87"/>
      <c r="CD3" s="88" t="s">
        <v>12</v>
      </c>
      <c r="CE3" s="87"/>
      <c r="CF3" s="88" t="s">
        <v>85</v>
      </c>
      <c r="CG3" s="87"/>
      <c r="CH3" s="88" t="s">
        <v>86</v>
      </c>
      <c r="CJ3" s="86" t="s">
        <v>84</v>
      </c>
      <c r="CK3" s="87"/>
      <c r="CL3" s="88" t="s">
        <v>12</v>
      </c>
      <c r="CM3" s="87"/>
      <c r="CN3" s="88" t="s">
        <v>85</v>
      </c>
      <c r="CO3" s="87"/>
      <c r="CP3" s="88" t="s">
        <v>86</v>
      </c>
      <c r="CR3" s="86" t="s">
        <v>84</v>
      </c>
      <c r="CS3" s="87"/>
      <c r="CT3" s="88" t="s">
        <v>12</v>
      </c>
      <c r="CU3" s="87"/>
      <c r="CV3" s="88" t="s">
        <v>85</v>
      </c>
      <c r="CW3" s="87"/>
      <c r="CX3" s="88" t="s">
        <v>86</v>
      </c>
    </row>
    <row r="4" spans="1:102" customFormat="1" ht="16.2" thickBot="1" x14ac:dyDescent="0.35">
      <c r="C4" s="5"/>
      <c r="D4" s="6"/>
      <c r="E4" s="124"/>
      <c r="F4" s="7"/>
      <c r="H4" s="6"/>
      <c r="P4" s="8"/>
      <c r="Q4" s="8"/>
      <c r="R4" s="8"/>
      <c r="S4" s="8"/>
      <c r="T4" s="8"/>
      <c r="X4" s="8"/>
      <c r="Y4" s="8"/>
      <c r="Z4" s="8"/>
      <c r="AA4" s="8"/>
      <c r="AB4" s="8"/>
      <c r="AC4" s="8"/>
      <c r="AF4" s="8"/>
      <c r="AG4" s="8"/>
      <c r="AH4" s="8"/>
      <c r="AI4" s="8"/>
      <c r="AJ4" s="8"/>
      <c r="AN4" s="6"/>
      <c r="AO4" s="6"/>
      <c r="AP4" s="6"/>
      <c r="AQ4" s="6"/>
      <c r="AR4" s="6"/>
      <c r="AV4" s="9"/>
      <c r="AW4" s="9"/>
      <c r="AX4" s="9"/>
      <c r="AY4" s="9"/>
      <c r="AZ4" s="9"/>
      <c r="BD4" s="9"/>
      <c r="BE4" s="9"/>
      <c r="BF4" s="9"/>
      <c r="BG4" s="9"/>
      <c r="BH4" s="9"/>
      <c r="BL4" s="10"/>
      <c r="BM4" s="10"/>
      <c r="BN4" s="10"/>
      <c r="BO4" s="10"/>
      <c r="BP4" s="10"/>
      <c r="BT4" s="11"/>
      <c r="BU4" s="11"/>
      <c r="BV4" s="11"/>
      <c r="BW4" s="11"/>
      <c r="BX4" s="11"/>
      <c r="CB4" s="9"/>
      <c r="CC4" s="9"/>
      <c r="CD4" s="9"/>
      <c r="CE4" s="9"/>
      <c r="CF4" s="9"/>
      <c r="CJ4" s="11"/>
      <c r="CK4" s="11"/>
      <c r="CL4" s="11"/>
      <c r="CM4" s="11"/>
      <c r="CN4" s="11"/>
      <c r="CR4" s="9"/>
      <c r="CS4" s="9"/>
      <c r="CT4" s="9"/>
      <c r="CU4" s="9"/>
      <c r="CV4" s="9"/>
    </row>
    <row r="5" spans="1:102" ht="16.2" thickBot="1" x14ac:dyDescent="0.35">
      <c r="B5" s="213" t="s">
        <v>13</v>
      </c>
      <c r="C5" s="221"/>
      <c r="D5" s="12"/>
      <c r="E5" s="125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3"/>
    </row>
    <row r="6" spans="1:102" ht="10.5" customHeight="1" thickBot="1" x14ac:dyDescent="0.35">
      <c r="B6"/>
      <c r="C6" s="15"/>
      <c r="D6" s="16"/>
      <c r="E6" s="126"/>
      <c r="F6" s="17"/>
      <c r="H6" s="18"/>
      <c r="P6" s="19"/>
      <c r="Q6" s="19"/>
      <c r="R6" s="19"/>
      <c r="S6" s="19"/>
      <c r="T6" s="19"/>
      <c r="X6" s="19"/>
      <c r="Y6" s="19"/>
      <c r="Z6" s="19"/>
      <c r="AA6" s="19"/>
      <c r="AB6" s="19"/>
      <c r="AC6" s="19"/>
      <c r="AF6" s="19"/>
      <c r="AG6" s="19"/>
      <c r="AH6" s="19"/>
      <c r="AI6" s="19"/>
      <c r="AJ6" s="19"/>
      <c r="AN6" s="18"/>
      <c r="AO6" s="18"/>
      <c r="AP6" s="18"/>
      <c r="AQ6" s="18"/>
      <c r="AR6" s="18"/>
      <c r="AV6" s="19"/>
      <c r="AW6" s="19"/>
      <c r="AX6" s="19"/>
      <c r="AY6" s="19"/>
      <c r="AZ6" s="19"/>
      <c r="BD6" s="19"/>
      <c r="BE6" s="19"/>
      <c r="BF6" s="19"/>
      <c r="BG6" s="19"/>
      <c r="BH6" s="19"/>
      <c r="BL6" s="18"/>
      <c r="BM6" s="18"/>
      <c r="BN6" s="18"/>
      <c r="BO6" s="18"/>
      <c r="BP6" s="18"/>
      <c r="BT6" s="18"/>
      <c r="BU6" s="18"/>
      <c r="BV6" s="18"/>
      <c r="BW6" s="18"/>
      <c r="BX6" s="18"/>
      <c r="CB6" s="19"/>
      <c r="CC6" s="19"/>
      <c r="CD6" s="19"/>
      <c r="CE6" s="19"/>
      <c r="CF6" s="19"/>
      <c r="CJ6" s="18"/>
      <c r="CK6" s="18"/>
      <c r="CL6" s="18"/>
      <c r="CM6" s="18"/>
      <c r="CN6" s="18"/>
      <c r="CR6" s="19"/>
      <c r="CS6" s="19"/>
      <c r="CT6" s="19"/>
      <c r="CU6" s="19"/>
      <c r="CV6" s="19"/>
    </row>
    <row r="7" spans="1:102" ht="16.2" thickBot="1" x14ac:dyDescent="0.35">
      <c r="B7" s="213" t="s">
        <v>44</v>
      </c>
      <c r="C7" s="221"/>
      <c r="D7" s="42" t="e">
        <f>IF(AVERAGE(J7,R7,Z7,AH7,AP7,AX7,BF7,BN7,BV7,CD7,CL7,CT7)&lt;&gt;"",AVERAGE(J7,R7,Z7,AH7,AP7,AX7,BF7,BN7,BV7,CD7,CL7,CT7),"")</f>
        <v>#DIV/0!</v>
      </c>
      <c r="E7" s="127" t="str">
        <f>IF(SUM(J7,R7,Z7,AH7,AP7,AX7,BF7,BN7,BV7,CD7,CL7,CT7)&lt;&gt;0,SUM(J7,R7,Z7,AH7,AP7,AX7,BF7,BN7,BV7,CD7,CL7,CT7),"")</f>
        <v/>
      </c>
      <c r="F7" s="89"/>
      <c r="H7" s="29" t="str">
        <f>IF(H8&gt;0,SUM(H8),"")</f>
        <v/>
      </c>
      <c r="J7" s="29" t="str">
        <f>IF(J8&gt;0,SUM(J8),"")</f>
        <v/>
      </c>
      <c r="N7" s="30" t="str">
        <f>IF(J7&lt;&gt;"",(J7/H7)-1,"")</f>
        <v/>
      </c>
      <c r="P7" s="29" t="str">
        <f>IF(P8&gt;0,SUM(P8),"")</f>
        <v/>
      </c>
      <c r="Q7" s="14"/>
      <c r="R7" s="29" t="str">
        <f>IF(R8&gt;0,SUM(R8),"")</f>
        <v/>
      </c>
      <c r="S7" s="14"/>
      <c r="T7" s="14"/>
      <c r="V7" s="30" t="str">
        <f>IF(R7&lt;&gt;"",(R7/P7)-1,"")</f>
        <v/>
      </c>
      <c r="X7" s="29" t="str">
        <f>IF(X8&gt;0,SUM(X8),"")</f>
        <v/>
      </c>
      <c r="Y7" s="14"/>
      <c r="Z7" s="29" t="str">
        <f>IF(Z8&gt;0,SUM(Z8),"")</f>
        <v/>
      </c>
      <c r="AA7" s="14"/>
      <c r="AB7" s="14"/>
      <c r="AC7" s="14"/>
      <c r="AD7" s="30" t="str">
        <f>IF(Z7&lt;&gt;"",(Z7/X7)-1,"")</f>
        <v/>
      </c>
      <c r="AF7" s="29" t="str">
        <f>IF(AF8&gt;0,SUM(AF8),"")</f>
        <v/>
      </c>
      <c r="AG7" s="14"/>
      <c r="AH7" s="29" t="str">
        <f>IF(AH8&gt;0,SUM(AH8),"")</f>
        <v/>
      </c>
      <c r="AI7" s="14"/>
      <c r="AJ7" s="14"/>
      <c r="AL7" s="30" t="str">
        <f>IF(AH7&lt;&gt;"",(AH7/AF7)-1,"")</f>
        <v/>
      </c>
      <c r="AN7" s="29" t="str">
        <f>IF(AN8&gt;0,SUM(AN8),"")</f>
        <v/>
      </c>
      <c r="AO7" s="14"/>
      <c r="AP7" s="29" t="str">
        <f>IF(AP8&gt;0,SUM(AP8),"")</f>
        <v/>
      </c>
      <c r="AQ7" s="14"/>
      <c r="AR7" s="14"/>
      <c r="AT7" s="30" t="str">
        <f>IF(AP7&lt;&gt;"",(AP7/AN7)-1,"")</f>
        <v/>
      </c>
      <c r="AV7" s="29" t="str">
        <f>IF(AV8&gt;0,SUM(AV8),"")</f>
        <v/>
      </c>
      <c r="AW7" s="14"/>
      <c r="AX7" s="29" t="str">
        <f>IF(AX8&gt;0,SUM(AX8),"")</f>
        <v/>
      </c>
      <c r="AY7" s="14"/>
      <c r="AZ7" s="14"/>
      <c r="BB7" s="30" t="str">
        <f>IF(AX7&lt;&gt;"",(AX7/AV7)-1,"")</f>
        <v/>
      </c>
      <c r="BD7" s="29" t="str">
        <f>IF(BD8&gt;0,SUM(BD8),"")</f>
        <v/>
      </c>
      <c r="BE7" s="14"/>
      <c r="BF7" s="29" t="str">
        <f>IF(BF8&gt;0,SUM(BF8),"")</f>
        <v/>
      </c>
      <c r="BG7" s="14"/>
      <c r="BH7" s="14"/>
      <c r="BJ7" s="30" t="str">
        <f>IF(BF7&lt;&gt;"",(BF7/BD7)-1,"")</f>
        <v/>
      </c>
      <c r="BL7" s="29" t="str">
        <f>IF(BL8&gt;0,SUM(BL8),"")</f>
        <v/>
      </c>
      <c r="BM7" s="14"/>
      <c r="BN7" s="29" t="str">
        <f>IF(BN8&gt;0,SUM(BN8),"")</f>
        <v/>
      </c>
      <c r="BO7" s="14"/>
      <c r="BP7" s="14"/>
      <c r="BR7" s="30" t="str">
        <f>IF(BN7&lt;&gt;"",(BN7/BL7)-1,"")</f>
        <v/>
      </c>
      <c r="BT7" s="29" t="str">
        <f>IF(BT8&gt;0,SUM(BT8),"")</f>
        <v/>
      </c>
      <c r="BU7" s="14"/>
      <c r="BV7" s="29" t="str">
        <f>IF(BV8&gt;0,SUM(BV8),"")</f>
        <v/>
      </c>
      <c r="BW7" s="14"/>
      <c r="BX7" s="14"/>
      <c r="BZ7" s="30" t="str">
        <f>IF(BV7&lt;&gt;"",(BV7/BT7)-1,"")</f>
        <v/>
      </c>
      <c r="CB7" s="29" t="str">
        <f>IF(CB8&gt;0,SUM(CB8),"")</f>
        <v/>
      </c>
      <c r="CC7" s="14"/>
      <c r="CD7" s="29" t="str">
        <f>IF(CD8&gt;0,SUM(CD8),"")</f>
        <v/>
      </c>
      <c r="CE7" s="14"/>
      <c r="CF7" s="14"/>
      <c r="CH7" s="30" t="str">
        <f>IF(CD7&lt;&gt;"",(CD7/CB7)-1,"")</f>
        <v/>
      </c>
      <c r="CJ7" s="29" t="str">
        <f>IF(CJ8&gt;0,SUM(CJ8),"")</f>
        <v/>
      </c>
      <c r="CK7" s="14"/>
      <c r="CL7" s="29" t="str">
        <f>IF(CL8&gt;0,SUM(CL8),"")</f>
        <v/>
      </c>
      <c r="CM7" s="14"/>
      <c r="CN7" s="14"/>
      <c r="CP7" s="30" t="str">
        <f>IF(CL7&lt;&gt;"",(CL7/CJ7)-1,"")</f>
        <v/>
      </c>
      <c r="CR7" s="29" t="str">
        <f>IF(CR8&gt;0,SUM(CR8),"")</f>
        <v/>
      </c>
      <c r="CS7" s="14"/>
      <c r="CT7" s="29" t="str">
        <f>IF(CT8&gt;0,SUM(CT8),"")</f>
        <v/>
      </c>
      <c r="CU7" s="14"/>
      <c r="CV7" s="14"/>
      <c r="CX7" s="30" t="str">
        <f>IF(CT7&lt;&gt;"",(CT7/CR7)-1,"")</f>
        <v/>
      </c>
    </row>
    <row r="8" spans="1:102" ht="16.2" thickBot="1" x14ac:dyDescent="0.35">
      <c r="B8" s="117"/>
      <c r="C8" s="118" t="s">
        <v>155</v>
      </c>
      <c r="D8" s="119" t="e">
        <f>IF(AVERAGE(J8,R8,Z8,AH8,AP8,AX8,BF8,BN8,BV8,CD8,CL8,CT8)&lt;&gt;"",AVERAGE(J8,R8,Z8,AH8,AP8,AX8,BF8,BN8,BV8,CD8,CL8,CT8),"")</f>
        <v>#DIV/0!</v>
      </c>
      <c r="E8" s="128">
        <f>IF(SUM(J8,R8,Z8,AH8,AP8,AX8,BF8,BN8,BV8,CD8,CL8,CT8)&lt;&gt;"",SUM(J8,R8,Z8,AH8,AP8,AX8,BF8,BN8,BV8,CD8,CL8,CT8),"")</f>
        <v>0</v>
      </c>
      <c r="F8" s="121"/>
      <c r="H8" s="82"/>
      <c r="J8" s="140"/>
      <c r="N8" s="30" t="str">
        <f>IF(J8&lt;&gt;"",(J8/$D$8)-1,"")</f>
        <v/>
      </c>
      <c r="P8" s="82"/>
      <c r="Q8" s="14"/>
      <c r="R8" s="140"/>
      <c r="S8" s="14"/>
      <c r="T8" s="14"/>
      <c r="V8" s="30" t="str">
        <f>IF(R8&lt;&gt;"",(R8/$D$8)-1,"")</f>
        <v/>
      </c>
      <c r="X8" s="82"/>
      <c r="Y8" s="14"/>
      <c r="Z8" s="140"/>
      <c r="AA8" s="14"/>
      <c r="AB8" s="14"/>
      <c r="AC8" s="14"/>
      <c r="AD8" s="30" t="str">
        <f>IF(Z8&lt;&gt;"",(Z8/$D$8)-1,"")</f>
        <v/>
      </c>
      <c r="AF8" s="82"/>
      <c r="AG8" s="14"/>
      <c r="AH8" s="140"/>
      <c r="AI8" s="14"/>
      <c r="AJ8" s="14"/>
      <c r="AL8" s="30" t="str">
        <f>IF(AH8&lt;&gt;"",(AH8/$D$8)-1,"")</f>
        <v/>
      </c>
      <c r="AN8" s="82"/>
      <c r="AO8" s="14"/>
      <c r="AP8" s="140"/>
      <c r="AQ8" s="14"/>
      <c r="AR8" s="14"/>
      <c r="AT8" s="30" t="str">
        <f>IF(AP8&lt;&gt;"",(AP8/$D$8)-1,"")</f>
        <v/>
      </c>
      <c r="AV8" s="82"/>
      <c r="AW8" s="14"/>
      <c r="AX8" s="140"/>
      <c r="AY8" s="14"/>
      <c r="AZ8" s="14"/>
      <c r="BB8" s="30" t="str">
        <f>IF(AX8&lt;&gt;"",(AX8/$D$8)-1,"")</f>
        <v/>
      </c>
      <c r="BD8" s="82"/>
      <c r="BE8" s="14"/>
      <c r="BF8" s="140"/>
      <c r="BG8" s="14"/>
      <c r="BH8" s="14"/>
      <c r="BJ8" s="30" t="str">
        <f>IF(BF8&lt;&gt;"",(BF8/$D$8)-1,"")</f>
        <v/>
      </c>
      <c r="BL8" s="82"/>
      <c r="BM8" s="14"/>
      <c r="BN8" s="140"/>
      <c r="BO8" s="14"/>
      <c r="BP8" s="14"/>
      <c r="BR8" s="30" t="str">
        <f>IF(BN8&lt;&gt;"",(BN8/$D$8)-1,"")</f>
        <v/>
      </c>
      <c r="BT8" s="82"/>
      <c r="BU8" s="14"/>
      <c r="BV8" s="140"/>
      <c r="BW8" s="14"/>
      <c r="BX8" s="14"/>
      <c r="BZ8" s="30" t="str">
        <f>IF(BV8&lt;&gt;"",(BV8/$D$8)-1,"")</f>
        <v/>
      </c>
      <c r="CB8" s="82"/>
      <c r="CC8" s="14"/>
      <c r="CD8" s="140"/>
      <c r="CE8" s="14"/>
      <c r="CF8" s="14"/>
      <c r="CH8" s="30" t="str">
        <f>IF(CD8&lt;&gt;"",(CD8/$D$8)-1,"")</f>
        <v/>
      </c>
      <c r="CJ8" s="82"/>
      <c r="CK8" s="14"/>
      <c r="CL8" s="140"/>
      <c r="CM8" s="14"/>
      <c r="CN8" s="14"/>
      <c r="CP8" s="30" t="str">
        <f>IF(CL8&lt;&gt;"",(CL8/$D$8)-1,"")</f>
        <v/>
      </c>
      <c r="CR8" s="82"/>
      <c r="CS8" s="14"/>
      <c r="CT8" s="140"/>
      <c r="CU8" s="14"/>
      <c r="CV8" s="14"/>
      <c r="CX8" s="30" t="str">
        <f>IF(CT8&lt;&gt;"",(CT8/$D$8)-1,"")</f>
        <v/>
      </c>
    </row>
    <row r="9" spans="1:102" ht="16.2" thickBot="1" x14ac:dyDescent="0.35">
      <c r="B9" s="117"/>
      <c r="C9" s="118" t="s">
        <v>156</v>
      </c>
      <c r="D9" s="119" t="e">
        <f>IF(AVERAGE(J9,R9,Z9,AH9,AP9,AX9,BF9,BN9,BV9,CD9,CL9,CT9)&lt;&gt;"",AVERAGE(J9,R9,Z9,AH9,AP9,AX9,BF9,BN9,BV9,CD9,CL9,CT9),"")</f>
        <v>#DIV/0!</v>
      </c>
      <c r="E9" s="128">
        <f>IF(SUM(J9,R9,Z9,AH9,AP9,AX9,BF9,BN9,BV9,CD9,CL9,CT9)&lt;&gt;"",SUM(J9,R9,Z9,AH9,AP9,AX9,BF9,BN9,BV9,CD9,CL9,CT9),"")</f>
        <v>0</v>
      </c>
      <c r="F9" s="121"/>
      <c r="H9" s="82"/>
      <c r="J9" s="140"/>
      <c r="N9" s="30" t="str">
        <f>IF(J9&lt;&gt;"",(J9/$D$8)-1,"")</f>
        <v/>
      </c>
      <c r="P9" s="82"/>
      <c r="Q9" s="14"/>
      <c r="R9" s="140"/>
      <c r="S9" s="14"/>
      <c r="T9" s="14"/>
      <c r="V9" s="30" t="str">
        <f>IF(R9&lt;&gt;"",(R9/$D$8)-1,"")</f>
        <v/>
      </c>
      <c r="X9" s="82"/>
      <c r="Y9" s="14"/>
      <c r="Z9" s="140"/>
      <c r="AA9" s="14"/>
      <c r="AB9" s="14"/>
      <c r="AC9" s="14"/>
      <c r="AD9" s="30" t="str">
        <f>IF(Z9&lt;&gt;"",(Z9/$D$8)-1,"")</f>
        <v/>
      </c>
      <c r="AF9" s="82"/>
      <c r="AG9" s="14"/>
      <c r="AH9" s="140"/>
      <c r="AI9" s="14"/>
      <c r="AJ9" s="14"/>
      <c r="AL9" s="30" t="str">
        <f>IF(AH9&lt;&gt;"",(AH9/$D$8)-1,"")</f>
        <v/>
      </c>
      <c r="AN9" s="82"/>
      <c r="AO9" s="14"/>
      <c r="AP9" s="140"/>
      <c r="AQ9" s="14"/>
      <c r="AR9" s="14"/>
      <c r="AT9" s="30" t="str">
        <f>IF(AP9&lt;&gt;"",(AP9/$D$8)-1,"")</f>
        <v/>
      </c>
      <c r="AV9" s="82"/>
      <c r="AW9" s="14"/>
      <c r="AX9" s="140"/>
      <c r="AY9" s="14"/>
      <c r="AZ9" s="14"/>
      <c r="BB9" s="30" t="str">
        <f>IF(AX9&lt;&gt;"",(AX9/$D$8)-1,"")</f>
        <v/>
      </c>
      <c r="BD9" s="82"/>
      <c r="BE9" s="14"/>
      <c r="BF9" s="140"/>
      <c r="BG9" s="14"/>
      <c r="BH9" s="14"/>
      <c r="BJ9" s="30" t="str">
        <f>IF(BF9&lt;&gt;"",(BF9/$D$8)-1,"")</f>
        <v/>
      </c>
      <c r="BL9" s="82"/>
      <c r="BM9" s="14"/>
      <c r="BN9" s="140"/>
      <c r="BO9" s="14"/>
      <c r="BP9" s="14"/>
      <c r="BR9" s="30" t="str">
        <f>IF(BN9&lt;&gt;"",(BN9/$D$8)-1,"")</f>
        <v/>
      </c>
      <c r="BT9" s="82"/>
      <c r="BU9" s="14"/>
      <c r="BV9" s="140"/>
      <c r="BW9" s="14"/>
      <c r="BX9" s="14"/>
      <c r="BZ9" s="30" t="str">
        <f>IF(BV9&lt;&gt;"",(BV9/$D$8)-1,"")</f>
        <v/>
      </c>
      <c r="CB9" s="82"/>
      <c r="CC9" s="14"/>
      <c r="CD9" s="140"/>
      <c r="CE9" s="14"/>
      <c r="CF9" s="14"/>
      <c r="CH9" s="30" t="str">
        <f>IF(CD9&lt;&gt;"",(CD9/$D$8)-1,"")</f>
        <v/>
      </c>
      <c r="CJ9" s="82"/>
      <c r="CK9" s="14"/>
      <c r="CL9" s="140"/>
      <c r="CM9" s="14"/>
      <c r="CN9" s="14"/>
      <c r="CP9" s="30" t="str">
        <f>IF(CL9&lt;&gt;"",(CL9/$D$8)-1,"")</f>
        <v/>
      </c>
      <c r="CR9" s="82"/>
      <c r="CS9" s="14"/>
      <c r="CT9" s="140"/>
      <c r="CU9" s="14"/>
      <c r="CV9" s="14"/>
      <c r="CX9" s="30" t="str">
        <f>IF(CT9&lt;&gt;"",(CT9/$D$8)-1,"")</f>
        <v/>
      </c>
    </row>
    <row r="10" spans="1:102" ht="16.2" thickBot="1" x14ac:dyDescent="0.35">
      <c r="B10" s="117"/>
      <c r="C10" s="118" t="s">
        <v>142</v>
      </c>
      <c r="D10" s="119" t="e">
        <f>IF(AVERAGE(J10,R10,Z10,AH10,AP10,AX10,BF10,BN10,BV10,CD10,CL10,CT10)&lt;&gt;"",AVERAGE(J10,R10,Z10,AH10,AP10,AX10,BF10,BN10,BV10,CD10,CL10,CT10),"")</f>
        <v>#DIV/0!</v>
      </c>
      <c r="E10" s="128">
        <f>IF(SUM(J10,R10,Z10,AH10,AP10,AX10,BF10,BN10,BV10,CD10,CL10,CT10)&lt;&gt;"",SUM(J10,R10,Z10,AH10,AP10,AX10,BF10,BN10,BV10,CD10,CL10,CT10),"")</f>
        <v>0</v>
      </c>
      <c r="F10" s="121"/>
      <c r="H10" s="82"/>
      <c r="J10" s="140"/>
      <c r="N10" s="30" t="str">
        <f>IF(J10&lt;&gt;"",(J10/$D$10)-1,"")</f>
        <v/>
      </c>
      <c r="P10" s="82"/>
      <c r="Q10" s="14"/>
      <c r="R10" s="140"/>
      <c r="S10" s="14"/>
      <c r="T10" s="14"/>
      <c r="V10" s="30" t="str">
        <f>IF(R10&lt;&gt;"",(R10/$D$10)-1,"")</f>
        <v/>
      </c>
      <c r="X10" s="82"/>
      <c r="Y10" s="14"/>
      <c r="Z10" s="140"/>
      <c r="AA10" s="14"/>
      <c r="AB10" s="14"/>
      <c r="AC10" s="14"/>
      <c r="AD10" s="30" t="str">
        <f>IF(Z10&lt;&gt;"",(Z10/$D$10)-1,"")</f>
        <v/>
      </c>
      <c r="AF10" s="82"/>
      <c r="AG10" s="14"/>
      <c r="AH10" s="140"/>
      <c r="AI10" s="14"/>
      <c r="AJ10" s="14"/>
      <c r="AL10" s="30" t="str">
        <f>IF(AH10&lt;&gt;"",(AH10/$D$10)-1,"")</f>
        <v/>
      </c>
      <c r="AN10" s="82"/>
      <c r="AO10" s="14"/>
      <c r="AP10" s="140"/>
      <c r="AQ10" s="14"/>
      <c r="AR10" s="14"/>
      <c r="AT10" s="30" t="str">
        <f>IF(AP10&lt;&gt;"",(AP10/$D$10)-1,"")</f>
        <v/>
      </c>
      <c r="AV10" s="82"/>
      <c r="AW10" s="14"/>
      <c r="AX10" s="140"/>
      <c r="AY10" s="14"/>
      <c r="AZ10" s="14"/>
      <c r="BB10" s="30" t="str">
        <f>IF(AX10&lt;&gt;"",(AX10/$D$10)-1,"")</f>
        <v/>
      </c>
      <c r="BD10" s="82"/>
      <c r="BE10" s="14"/>
      <c r="BF10" s="140"/>
      <c r="BG10" s="14"/>
      <c r="BH10" s="14"/>
      <c r="BJ10" s="30" t="str">
        <f>IF(BF10&lt;&gt;"",(BF10/$D$10)-1,"")</f>
        <v/>
      </c>
      <c r="BL10" s="82"/>
      <c r="BM10" s="14"/>
      <c r="BN10" s="140"/>
      <c r="BO10" s="14"/>
      <c r="BP10" s="14"/>
      <c r="BR10" s="30" t="str">
        <f>IF(BN10&lt;&gt;"",(BN10/$D$10)-1,"")</f>
        <v/>
      </c>
      <c r="BT10" s="82"/>
      <c r="BU10" s="14"/>
      <c r="BV10" s="140"/>
      <c r="BW10" s="14"/>
      <c r="BX10" s="14"/>
      <c r="BZ10" s="30" t="str">
        <f>IF(BV10&lt;&gt;"",(BV10/$D$10)-1,"")</f>
        <v/>
      </c>
      <c r="CB10" s="82"/>
      <c r="CC10" s="14"/>
      <c r="CD10" s="140"/>
      <c r="CE10" s="14"/>
      <c r="CF10" s="14"/>
      <c r="CH10" s="30" t="str">
        <f>IF(CD10&lt;&gt;"",(CD10/$D$10)-1,"")</f>
        <v/>
      </c>
      <c r="CJ10" s="82"/>
      <c r="CK10" s="14"/>
      <c r="CL10" s="140"/>
      <c r="CM10" s="14"/>
      <c r="CN10" s="14"/>
      <c r="CP10" s="30" t="str">
        <f>IF(CL10&lt;&gt;"",(CL10/$D$10)-1,"")</f>
        <v/>
      </c>
      <c r="CR10" s="82"/>
      <c r="CS10" s="14"/>
      <c r="CT10" s="140"/>
      <c r="CU10" s="14"/>
      <c r="CV10" s="14"/>
      <c r="CX10" s="30" t="str">
        <f>IF(CT10&lt;&gt;"",(CT10/$D$10)-1,"")</f>
        <v/>
      </c>
    </row>
    <row r="11" spans="1:102" ht="9.75" customHeight="1" thickBot="1" x14ac:dyDescent="0.35">
      <c r="D11" s="14"/>
      <c r="E11" s="116"/>
      <c r="F11" s="14"/>
      <c r="H11" s="14"/>
      <c r="P11" s="14"/>
      <c r="Q11" s="14"/>
      <c r="R11" s="14"/>
      <c r="S11" s="14"/>
      <c r="T11" s="14"/>
      <c r="X11" s="14"/>
      <c r="Y11" s="14"/>
      <c r="Z11" s="14"/>
      <c r="AA11" s="14"/>
      <c r="AB11" s="14"/>
      <c r="AC11" s="14"/>
      <c r="AF11" s="14"/>
      <c r="AG11" s="14"/>
      <c r="AH11" s="14"/>
      <c r="AI11" s="14"/>
      <c r="AJ11" s="14"/>
      <c r="AN11" s="14"/>
      <c r="AO11" s="14"/>
      <c r="AP11" s="14"/>
      <c r="AQ11" s="14"/>
      <c r="AR11" s="14"/>
      <c r="AV11" s="14"/>
      <c r="AW11" s="14"/>
      <c r="AX11" s="14"/>
      <c r="AY11" s="14"/>
      <c r="AZ11" s="14"/>
      <c r="BD11" s="14"/>
      <c r="BE11" s="14"/>
      <c r="BF11" s="14"/>
      <c r="BG11" s="14"/>
      <c r="BH11" s="14"/>
      <c r="BL11" s="14"/>
      <c r="BM11" s="14"/>
      <c r="BN11" s="14"/>
      <c r="BO11" s="14"/>
      <c r="BP11" s="14"/>
      <c r="BT11" s="14"/>
      <c r="BU11" s="14"/>
      <c r="BV11" s="14"/>
      <c r="BW11" s="14"/>
      <c r="BX11" s="14"/>
      <c r="CB11" s="14"/>
      <c r="CC11" s="14"/>
      <c r="CD11" s="14"/>
      <c r="CE11" s="14"/>
      <c r="CF11" s="14"/>
      <c r="CJ11" s="14"/>
      <c r="CK11" s="14"/>
      <c r="CL11" s="14"/>
      <c r="CM11" s="14"/>
      <c r="CN11" s="14"/>
      <c r="CR11" s="14"/>
      <c r="CS11" s="14"/>
      <c r="CT11" s="14"/>
      <c r="CU11" s="14"/>
      <c r="CV11" s="14"/>
    </row>
    <row r="12" spans="1:102" ht="16.2" thickBot="1" x14ac:dyDescent="0.35">
      <c r="B12" s="208" t="s">
        <v>14</v>
      </c>
      <c r="C12" s="212"/>
      <c r="D12" s="23"/>
      <c r="E12" s="129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</row>
    <row r="13" spans="1:102" ht="8.25" customHeight="1" thickBot="1" x14ac:dyDescent="0.35">
      <c r="B13" s="24"/>
      <c r="C13" s="25"/>
      <c r="D13" s="16"/>
      <c r="E13" s="126"/>
      <c r="F13" s="17"/>
      <c r="H13" s="16"/>
      <c r="J13" s="16"/>
      <c r="P13" s="16"/>
      <c r="Q13" s="14"/>
      <c r="R13" s="16"/>
      <c r="S13" s="14"/>
      <c r="T13" s="14"/>
      <c r="X13" s="16"/>
      <c r="Y13" s="14"/>
      <c r="Z13" s="16"/>
      <c r="AA13" s="14"/>
      <c r="AB13" s="14"/>
      <c r="AC13" s="14"/>
      <c r="AF13" s="16"/>
      <c r="AG13" s="14"/>
      <c r="AH13" s="16"/>
      <c r="AI13" s="14"/>
      <c r="AJ13" s="14"/>
      <c r="AN13" s="16"/>
      <c r="AO13" s="14"/>
      <c r="AP13" s="16"/>
      <c r="AQ13" s="14"/>
      <c r="AR13" s="14"/>
      <c r="AV13" s="16"/>
      <c r="AW13" s="14"/>
      <c r="AX13" s="16"/>
      <c r="AY13" s="14"/>
      <c r="AZ13" s="14"/>
      <c r="BD13" s="16"/>
      <c r="BE13" s="14"/>
      <c r="BF13" s="16"/>
      <c r="BG13" s="14"/>
      <c r="BH13" s="14"/>
      <c r="BL13" s="16"/>
      <c r="BM13" s="14"/>
      <c r="BN13" s="16"/>
      <c r="BO13" s="14"/>
      <c r="BP13" s="14"/>
      <c r="BT13" s="16"/>
      <c r="BU13" s="14"/>
      <c r="BV13" s="16"/>
      <c r="BW13" s="14"/>
      <c r="BX13" s="14"/>
      <c r="CB13" s="16"/>
      <c r="CC13" s="14"/>
      <c r="CD13" s="16"/>
      <c r="CE13" s="14"/>
      <c r="CF13" s="14"/>
      <c r="CJ13" s="16"/>
      <c r="CK13" s="14"/>
      <c r="CL13" s="16"/>
      <c r="CM13" s="14"/>
      <c r="CN13" s="14"/>
      <c r="CR13" s="16"/>
      <c r="CS13" s="14"/>
      <c r="CT13" s="16"/>
      <c r="CU13" s="14"/>
      <c r="CV13" s="14"/>
    </row>
    <row r="14" spans="1:102" ht="16.2" thickBot="1" x14ac:dyDescent="0.35">
      <c r="B14" s="208" t="s">
        <v>43</v>
      </c>
      <c r="C14" s="209"/>
      <c r="D14" s="29" t="e">
        <f>IF(SUM(D15:D21)&lt;&gt;"",SUM(D15:D21),"")</f>
        <v>#DIV/0!</v>
      </c>
      <c r="E14" s="127">
        <f>IF(SUM(E15:E21)&lt;&gt;"",SUM(E15:E21),"")</f>
        <v>0</v>
      </c>
      <c r="F14" s="54">
        <f>IF(SUM(F15:F21)&lt;&gt;"",SUM(F15:F21),"")</f>
        <v>0</v>
      </c>
      <c r="H14" s="29" t="str">
        <f>IF(SUM(H15:H21)&lt;&gt;0,SUM(H15:H21),"")</f>
        <v/>
      </c>
      <c r="J14" s="29" t="str">
        <f>IF(SUM(J15:J21)&lt;&gt;0,SUM(J15:J21),"")</f>
        <v/>
      </c>
      <c r="L14" s="53" t="str">
        <f>IF(J14&lt;&gt;"",J14/J$7,"")</f>
        <v/>
      </c>
      <c r="N14" s="30" t="str">
        <f>IF(J14&lt;&gt;"",(J14/$D14)-1,"")</f>
        <v/>
      </c>
      <c r="P14" s="29" t="str">
        <f>IF(SUM(P15:P21)&lt;&gt;0,SUM(P15:P21),"")</f>
        <v/>
      </c>
      <c r="Q14" s="14"/>
      <c r="R14" s="29" t="str">
        <f>IF(SUM(R15:R21)&lt;&gt;0,SUM(R15:R21),"")</f>
        <v/>
      </c>
      <c r="S14" s="14"/>
      <c r="T14" s="53" t="str">
        <f>IF(R14&lt;&gt;"",R14/R$7,"")</f>
        <v/>
      </c>
      <c r="V14" s="30" t="str">
        <f>IF(R14&lt;&gt;"",(R14/$D14)-1,"")</f>
        <v/>
      </c>
      <c r="X14" s="29" t="str">
        <f>IF(SUM(X15:X21)&lt;&gt;0,SUM(X15:X21),"")</f>
        <v/>
      </c>
      <c r="Y14" s="14"/>
      <c r="Z14" s="29" t="str">
        <f>IF(SUM(Z15:Z21)&lt;&gt;0,SUM(Z15:Z21),"")</f>
        <v/>
      </c>
      <c r="AA14" s="14"/>
      <c r="AB14" s="53" t="str">
        <f>IF(Z14&lt;&gt;"",Z14/Z$7,"")</f>
        <v/>
      </c>
      <c r="AC14" s="14"/>
      <c r="AD14" s="53" t="str">
        <f>IF(Z14&lt;&gt;"",(Z14/X14)-1,"")</f>
        <v/>
      </c>
      <c r="AF14" s="29" t="str">
        <f>IF(SUM(AF15:AF21)&lt;&gt;0,SUM(AF15:AF21),"")</f>
        <v/>
      </c>
      <c r="AG14" s="14"/>
      <c r="AH14" s="29" t="str">
        <f>IF(SUM(AH15:AH21)&lt;&gt;0,SUM(AH15:AH21),"")</f>
        <v/>
      </c>
      <c r="AI14" s="14"/>
      <c r="AJ14" s="53" t="str">
        <f>IF(AH14&lt;&gt;"",AH14/AH$7,"")</f>
        <v/>
      </c>
      <c r="AL14" s="53" t="str">
        <f>IF(AH14&lt;&gt;"",(AH14/AF14)-1,"")</f>
        <v/>
      </c>
      <c r="AN14" s="29" t="str">
        <f>IF(SUM(AN15:AN21)&lt;&gt;0,SUM(AN15:AN21),"")</f>
        <v/>
      </c>
      <c r="AO14" s="14"/>
      <c r="AP14" s="29" t="str">
        <f>IF(SUM(AP15:AP21)&lt;&gt;0,SUM(AP15:AP21),"")</f>
        <v/>
      </c>
      <c r="AQ14" s="14"/>
      <c r="AR14" s="53" t="str">
        <f>IF(AP14&lt;&gt;"",AP14/AP$7,"")</f>
        <v/>
      </c>
      <c r="AT14" s="53" t="str">
        <f>IF(AP14&lt;&gt;"",(AP14/AN14)-1,"")</f>
        <v/>
      </c>
      <c r="AV14" s="29" t="str">
        <f>IF(SUM(AV15:AV21)&lt;&gt;0,SUM(AV15:AV21),"")</f>
        <v/>
      </c>
      <c r="AW14" s="14"/>
      <c r="AX14" s="29" t="str">
        <f>IF(SUM(AX15:AX21)&lt;&gt;0,SUM(AX15:AX21),"")</f>
        <v/>
      </c>
      <c r="AY14" s="14"/>
      <c r="AZ14" s="53" t="str">
        <f>IF(AX14&lt;&gt;"",AX14/AX$7,"")</f>
        <v/>
      </c>
      <c r="BB14" s="53" t="str">
        <f>IF(AX14&lt;&gt;"",(AX14/AV14)-1,"")</f>
        <v/>
      </c>
      <c r="BD14" s="29" t="str">
        <f>IF(SUM(BD15:BD21)&lt;&gt;0,SUM(BD15:BD21),"")</f>
        <v/>
      </c>
      <c r="BE14" s="14"/>
      <c r="BF14" s="29" t="str">
        <f>IF(SUM(BF15:BF21)&lt;&gt;0,SUM(BF15:BF21),"")</f>
        <v/>
      </c>
      <c r="BG14" s="14"/>
      <c r="BH14" s="53" t="str">
        <f>IF(BF14&lt;&gt;"",BF14/BF$7,"")</f>
        <v/>
      </c>
      <c r="BJ14" s="53" t="str">
        <f>IF(BF14&lt;&gt;"",(BF14/BD14)-1,"")</f>
        <v/>
      </c>
      <c r="BL14" s="29" t="str">
        <f>IF(SUM(BL15:BL21)&lt;&gt;0,SUM(BL15:BL21),"")</f>
        <v/>
      </c>
      <c r="BM14" s="14"/>
      <c r="BN14" s="29" t="str">
        <f>IF(SUM(BN15:BN21)&lt;&gt;0,SUM(BN15:BN21),"")</f>
        <v/>
      </c>
      <c r="BO14" s="14"/>
      <c r="BP14" s="53" t="str">
        <f>IF(BN14&lt;&gt;"",BN14/BN$7,"")</f>
        <v/>
      </c>
      <c r="BR14" s="53" t="str">
        <f>IF(BN14&lt;&gt;"",(BN14/BL14)-1,"")</f>
        <v/>
      </c>
      <c r="BT14" s="29" t="str">
        <f>IF(SUM(BT15:BT21)&lt;&gt;0,SUM(BT15:BT21),"")</f>
        <v/>
      </c>
      <c r="BU14" s="14"/>
      <c r="BV14" s="29" t="str">
        <f>IF(SUM(BV15:BV21)&lt;&gt;0,SUM(BV15:BV21),"")</f>
        <v/>
      </c>
      <c r="BW14" s="14"/>
      <c r="BX14" s="53" t="str">
        <f>IF(BV14&lt;&gt;"",BV14/BV$7,"")</f>
        <v/>
      </c>
      <c r="BZ14" s="53" t="str">
        <f>IF(BV14&lt;&gt;"",(BV14/BT14)-1,"")</f>
        <v/>
      </c>
      <c r="CB14" s="29" t="str">
        <f>IF(SUM(CB15:CB21)&lt;&gt;0,SUM(CB15:CB21),"")</f>
        <v/>
      </c>
      <c r="CC14" s="14"/>
      <c r="CD14" s="29" t="str">
        <f>IF(SUM(CD15:CD21)&lt;&gt;0,SUM(CD15:CD21),"")</f>
        <v/>
      </c>
      <c r="CE14" s="14"/>
      <c r="CF14" s="53" t="str">
        <f>IF(CD14&lt;&gt;"",CD14/CD$7,"")</f>
        <v/>
      </c>
      <c r="CH14" s="53" t="str">
        <f>IF(CD14&lt;&gt;"",(CD14/CB14)-1,"")</f>
        <v/>
      </c>
      <c r="CJ14" s="29" t="str">
        <f>IF(SUM(CJ15:CJ21)&lt;&gt;0,SUM(CJ15:CJ21),"")</f>
        <v/>
      </c>
      <c r="CK14" s="14"/>
      <c r="CL14" s="29" t="str">
        <f>IF(SUM(CL15:CL21)&lt;&gt;0,SUM(CL15:CL21),"")</f>
        <v/>
      </c>
      <c r="CM14" s="14"/>
      <c r="CN14" s="53" t="str">
        <f>IF(CL14&lt;&gt;"",CL14/CL$7,"")</f>
        <v/>
      </c>
      <c r="CP14" s="53" t="str">
        <f>IF(CL14&lt;&gt;"",(CL14/CJ14)-1,"")</f>
        <v/>
      </c>
      <c r="CR14" s="29" t="str">
        <f>IF(SUM(CR15:CR21)&lt;&gt;0,SUM(CR15:CR21),"")</f>
        <v/>
      </c>
      <c r="CS14" s="14"/>
      <c r="CT14" s="29" t="str">
        <f>IF(SUM(CT15:CT21)&lt;&gt;0,SUM(CT15:CT21),"")</f>
        <v/>
      </c>
      <c r="CU14" s="14"/>
      <c r="CV14" s="53" t="str">
        <f>IF(CT14&lt;&gt;"",CT14/CT$7,"")</f>
        <v/>
      </c>
      <c r="CX14" s="53" t="str">
        <f>IF(CT14&lt;&gt;"",(CT14/CR14)-1,"")</f>
        <v/>
      </c>
    </row>
    <row r="15" spans="1:102" ht="15.6" x14ac:dyDescent="0.3">
      <c r="A15" s="112"/>
      <c r="B15" s="49"/>
      <c r="C15" s="20" t="s">
        <v>153</v>
      </c>
      <c r="D15" s="70" t="e">
        <f>IF(AVERAGE(J15,R15,Z15,AH15,AP15,AX15,BF15,BN15,BV15,CD15,CL15,CT15)&lt;&gt;"",AVERAGE(J15,R15,Z15,AH15,AP15,AX15,BF15,BN15,BV15,CD15,CL15,CT15),"")</f>
        <v>#DIV/0!</v>
      </c>
      <c r="E15" s="130">
        <f>IF(SUM(J15,R15,Z15,AH15,AP15,AX15,BF15,BN15,BV15,CD15,CL15,CT15)&lt;&gt;"",SUM(J15,R15,Z15,AH15,AP15,AX15,BF15,BN15,BV15,CD15,CL15,CT15),"")</f>
        <v>0</v>
      </c>
      <c r="F15" s="73" t="str">
        <f t="shared" ref="F15:F20" si="0">IF(E15&lt;&gt;0,E15/E$7,"")</f>
        <v/>
      </c>
      <c r="H15" s="55"/>
      <c r="J15" s="141"/>
      <c r="L15" s="28" t="str">
        <f>IF(J15&lt;&gt;"",J15/J$7,"")</f>
        <v/>
      </c>
      <c r="N15" s="90" t="str">
        <f t="shared" ref="N15:N20" si="1">IF(J15&lt;&gt;0,(J15/D15)-1,"")</f>
        <v/>
      </c>
      <c r="P15" s="55"/>
      <c r="Q15" s="14"/>
      <c r="R15" s="141"/>
      <c r="S15" s="14"/>
      <c r="T15" s="28" t="str">
        <f>IF(R15&lt;&gt;"",R15/R$7,"")</f>
        <v/>
      </c>
      <c r="V15" s="90" t="str">
        <f t="shared" ref="V15:V16" si="2">IF(R15&lt;&gt;0,(R15/P15)-1,"")</f>
        <v/>
      </c>
      <c r="X15" s="55"/>
      <c r="Y15" s="14"/>
      <c r="Z15" s="141"/>
      <c r="AA15" s="14"/>
      <c r="AB15" s="28" t="str">
        <f>IF(Z15&lt;&gt;"",Z15/Z$7,"")</f>
        <v/>
      </c>
      <c r="AC15" s="14"/>
      <c r="AD15" s="90" t="str">
        <f t="shared" ref="AD15:AD16" si="3">IF(Z15&lt;&gt;0,(Z15/X15)-1,"")</f>
        <v/>
      </c>
      <c r="AF15" s="55"/>
      <c r="AG15" s="14"/>
      <c r="AH15" s="141"/>
      <c r="AI15" s="14"/>
      <c r="AJ15" s="28" t="str">
        <f>IF(AH15&lt;&gt;"",AH15/AH$7,"")</f>
        <v/>
      </c>
      <c r="AL15" s="90" t="str">
        <f t="shared" ref="AL15:AL16" si="4">IF(AH15&lt;&gt;0,(AH15/AF15)-1,"")</f>
        <v/>
      </c>
      <c r="AN15" s="55"/>
      <c r="AO15" s="14"/>
      <c r="AP15" s="141"/>
      <c r="AQ15" s="14"/>
      <c r="AR15" s="28" t="str">
        <f>IF(AP15&lt;&gt;"",AP15/AP$7,"")</f>
        <v/>
      </c>
      <c r="AT15" s="90" t="str">
        <f t="shared" ref="AT15:AT16" si="5">IF(AP15&lt;&gt;0,(AP15/AN15)-1,"")</f>
        <v/>
      </c>
      <c r="AV15" s="55"/>
      <c r="AW15" s="14"/>
      <c r="AX15" s="141"/>
      <c r="AY15" s="14"/>
      <c r="AZ15" s="28" t="str">
        <f>IF(AX15&lt;&gt;"",AX15/AX$7,"")</f>
        <v/>
      </c>
      <c r="BB15" s="90" t="str">
        <f t="shared" ref="BB15:BB16" si="6">IF(AX15&lt;&gt;0,(AX15/AV15)-1,"")</f>
        <v/>
      </c>
      <c r="BD15" s="55"/>
      <c r="BE15" s="14"/>
      <c r="BF15" s="141"/>
      <c r="BG15" s="14"/>
      <c r="BH15" s="28" t="str">
        <f>IF(BF15&lt;&gt;"",BF15/BF$7,"")</f>
        <v/>
      </c>
      <c r="BJ15" s="90" t="str">
        <f t="shared" ref="BJ15:BJ16" si="7">IF(BF15&lt;&gt;0,(BF15/BD15)-1,"")</f>
        <v/>
      </c>
      <c r="BL15" s="55"/>
      <c r="BM15" s="14"/>
      <c r="BN15" s="141"/>
      <c r="BO15" s="14"/>
      <c r="BP15" s="28" t="str">
        <f>IF(BN15&lt;&gt;"",BN15/BN$7,"")</f>
        <v/>
      </c>
      <c r="BR15" s="90" t="str">
        <f t="shared" ref="BR15:BR16" si="8">IF(BN15&lt;&gt;0,(BN15/BL15)-1,"")</f>
        <v/>
      </c>
      <c r="BT15" s="55"/>
      <c r="BU15" s="14"/>
      <c r="BV15" s="141"/>
      <c r="BW15" s="14"/>
      <c r="BX15" s="28" t="str">
        <f>IF(BV15&lt;&gt;"",BV15/BV$7,"")</f>
        <v/>
      </c>
      <c r="BZ15" s="90" t="str">
        <f t="shared" ref="BZ15:BZ16" si="9">IF(BV15&lt;&gt;0,(BV15/BT15)-1,"")</f>
        <v/>
      </c>
      <c r="CB15" s="55"/>
      <c r="CC15" s="14"/>
      <c r="CD15" s="141"/>
      <c r="CE15" s="14"/>
      <c r="CF15" s="28" t="str">
        <f>IF(CD15&lt;&gt;"",CD15/CD$7,"")</f>
        <v/>
      </c>
      <c r="CH15" s="90" t="str">
        <f t="shared" ref="CH15:CH16" si="10">IF(CD15&lt;&gt;0,(CD15/CB15)-1,"")</f>
        <v/>
      </c>
      <c r="CJ15" s="55"/>
      <c r="CK15" s="14"/>
      <c r="CL15" s="141"/>
      <c r="CM15" s="14"/>
      <c r="CN15" s="28" t="str">
        <f>IF(CL15&lt;&gt;"",CL15/CL$7,"")</f>
        <v/>
      </c>
      <c r="CP15" s="90" t="str">
        <f t="shared" ref="CP15:CP16" si="11">IF(CL15&lt;&gt;0,(CL15/CJ15)-1,"")</f>
        <v/>
      </c>
      <c r="CR15" s="55"/>
      <c r="CS15" s="14"/>
      <c r="CT15" s="141"/>
      <c r="CU15" s="14"/>
      <c r="CV15" s="28" t="str">
        <f>IF(CT15&lt;&gt;"",CT15/CT$7,"")</f>
        <v/>
      </c>
      <c r="CX15" s="90" t="str">
        <f t="shared" ref="CX15:CX16" si="12">IF(CT15&lt;&gt;0,(CT15/CR15)-1,"")</f>
        <v/>
      </c>
    </row>
    <row r="16" spans="1:102" ht="15.6" x14ac:dyDescent="0.3">
      <c r="B16" s="49"/>
      <c r="C16" s="21" t="s">
        <v>157</v>
      </c>
      <c r="D16" s="70" t="e">
        <f t="shared" ref="D16:D20" si="13">IF(AVERAGE(J16,R16,Z16,AH16,AP16,AX16,BF16,BN16,BV16,CD16,CL16,CT16)&lt;&gt;"",AVERAGE(J16,R16,Z16,AH16,AP16,AX16,BF16,BN16,BV16,CD16,CL16,CT16),"")</f>
        <v>#DIV/0!</v>
      </c>
      <c r="E16" s="130">
        <f t="shared" ref="E16:E20" si="14">IF(SUM(J16,R16,Z16,AH16,AP16,AX16,BF16,BN16,BV16,CD16,CL16,CT16)&lt;&gt;"",SUM(J16,R16,Z16,AH16,AP16,AX16,BF16,BN16,BV16,CD16,CL16,CT16),"")</f>
        <v>0</v>
      </c>
      <c r="F16" s="73" t="str">
        <f t="shared" si="0"/>
        <v/>
      </c>
      <c r="H16" s="55"/>
      <c r="J16" s="141"/>
      <c r="L16" s="28" t="str">
        <f t="shared" ref="L16:L20" si="15">IF(J16&lt;&gt;"",J16/J$7,"")</f>
        <v/>
      </c>
      <c r="N16" s="90" t="str">
        <f t="shared" si="1"/>
        <v/>
      </c>
      <c r="P16" s="55"/>
      <c r="Q16" s="14"/>
      <c r="R16" s="141"/>
      <c r="S16" s="14"/>
      <c r="T16" s="28" t="str">
        <f t="shared" ref="T16:T20" si="16">IF(R16&lt;&gt;"",R16/R$7,"")</f>
        <v/>
      </c>
      <c r="V16" s="90" t="str">
        <f t="shared" si="2"/>
        <v/>
      </c>
      <c r="X16" s="55"/>
      <c r="Y16" s="14"/>
      <c r="Z16" s="141"/>
      <c r="AA16" s="14"/>
      <c r="AB16" s="28" t="str">
        <f t="shared" ref="AB16:AB20" si="17">IF(Z16&lt;&gt;"",Z16/Z$7,"")</f>
        <v/>
      </c>
      <c r="AC16" s="14"/>
      <c r="AD16" s="90" t="str">
        <f t="shared" si="3"/>
        <v/>
      </c>
      <c r="AF16" s="55"/>
      <c r="AG16" s="14"/>
      <c r="AH16" s="141"/>
      <c r="AI16" s="14"/>
      <c r="AJ16" s="28" t="str">
        <f t="shared" ref="AJ16:AJ20" si="18">IF(AH16&lt;&gt;"",AH16/AH$7,"")</f>
        <v/>
      </c>
      <c r="AL16" s="90" t="str">
        <f t="shared" si="4"/>
        <v/>
      </c>
      <c r="AN16" s="55"/>
      <c r="AO16" s="14"/>
      <c r="AP16" s="141"/>
      <c r="AQ16" s="14"/>
      <c r="AR16" s="28" t="str">
        <f t="shared" ref="AR16:AR20" si="19">IF(AP16&lt;&gt;"",AP16/AP$7,"")</f>
        <v/>
      </c>
      <c r="AT16" s="90" t="str">
        <f t="shared" si="5"/>
        <v/>
      </c>
      <c r="AV16" s="55"/>
      <c r="AW16" s="14"/>
      <c r="AX16" s="141"/>
      <c r="AY16" s="14"/>
      <c r="AZ16" s="28" t="str">
        <f t="shared" ref="AZ16:AZ20" si="20">IF(AX16&lt;&gt;"",AX16/AX$7,"")</f>
        <v/>
      </c>
      <c r="BB16" s="90" t="str">
        <f t="shared" si="6"/>
        <v/>
      </c>
      <c r="BD16" s="55"/>
      <c r="BE16" s="14"/>
      <c r="BF16" s="141"/>
      <c r="BG16" s="14"/>
      <c r="BH16" s="28" t="str">
        <f t="shared" ref="BH16:BH20" si="21">IF(BF16&lt;&gt;"",BF16/BF$7,"")</f>
        <v/>
      </c>
      <c r="BJ16" s="90" t="str">
        <f t="shared" si="7"/>
        <v/>
      </c>
      <c r="BL16" s="55"/>
      <c r="BM16" s="14"/>
      <c r="BN16" s="141"/>
      <c r="BO16" s="14"/>
      <c r="BP16" s="28" t="str">
        <f t="shared" ref="BP16:BP20" si="22">IF(BN16&lt;&gt;"",BN16/BN$7,"")</f>
        <v/>
      </c>
      <c r="BR16" s="90" t="str">
        <f t="shared" si="8"/>
        <v/>
      </c>
      <c r="BT16" s="55"/>
      <c r="BU16" s="14"/>
      <c r="BV16" s="141"/>
      <c r="BW16" s="14"/>
      <c r="BX16" s="28" t="str">
        <f t="shared" ref="BX16:BX20" si="23">IF(BV16&lt;&gt;"",BV16/BV$7,"")</f>
        <v/>
      </c>
      <c r="BZ16" s="90" t="str">
        <f t="shared" si="9"/>
        <v/>
      </c>
      <c r="CB16" s="55"/>
      <c r="CC16" s="14"/>
      <c r="CD16" s="141"/>
      <c r="CE16" s="14"/>
      <c r="CF16" s="28" t="str">
        <f t="shared" ref="CF16:CF20" si="24">IF(CD16&lt;&gt;"",CD16/CD$7,"")</f>
        <v/>
      </c>
      <c r="CH16" s="90" t="str">
        <f t="shared" si="10"/>
        <v/>
      </c>
      <c r="CJ16" s="55"/>
      <c r="CK16" s="14"/>
      <c r="CL16" s="141"/>
      <c r="CM16" s="14"/>
      <c r="CN16" s="28" t="str">
        <f t="shared" ref="CN16:CN20" si="25">IF(CL16&lt;&gt;"",CL16/CL$7,"")</f>
        <v/>
      </c>
      <c r="CP16" s="90" t="str">
        <f t="shared" si="11"/>
        <v/>
      </c>
      <c r="CR16" s="55"/>
      <c r="CS16" s="14"/>
      <c r="CT16" s="141"/>
      <c r="CU16" s="14"/>
      <c r="CV16" s="28" t="str">
        <f t="shared" ref="CV16:CV20" si="26">IF(CT16&lt;&gt;"",CT16/CT$7,"")</f>
        <v/>
      </c>
      <c r="CX16" s="90" t="str">
        <f t="shared" si="12"/>
        <v/>
      </c>
    </row>
    <row r="17" spans="1:102" ht="15.6" x14ac:dyDescent="0.3">
      <c r="B17" s="49"/>
      <c r="C17" s="21" t="s">
        <v>158</v>
      </c>
      <c r="D17" s="70" t="e">
        <f t="shared" si="13"/>
        <v>#DIV/0!</v>
      </c>
      <c r="E17" s="130">
        <f t="shared" si="14"/>
        <v>0</v>
      </c>
      <c r="F17" s="73" t="str">
        <f t="shared" si="0"/>
        <v/>
      </c>
      <c r="H17" s="55"/>
      <c r="J17" s="141"/>
      <c r="L17" s="28" t="str">
        <f t="shared" si="15"/>
        <v/>
      </c>
      <c r="N17" s="90" t="str">
        <f t="shared" si="1"/>
        <v/>
      </c>
      <c r="P17" s="55"/>
      <c r="Q17" s="14"/>
      <c r="R17" s="141"/>
      <c r="S17" s="14"/>
      <c r="T17" s="28" t="str">
        <f t="shared" si="16"/>
        <v/>
      </c>
      <c r="V17" s="90"/>
      <c r="X17" s="55"/>
      <c r="Y17" s="14"/>
      <c r="Z17" s="141"/>
      <c r="AA17" s="14"/>
      <c r="AB17" s="28" t="str">
        <f t="shared" si="17"/>
        <v/>
      </c>
      <c r="AC17" s="14"/>
      <c r="AD17" s="90"/>
      <c r="AF17" s="55"/>
      <c r="AG17" s="14"/>
      <c r="AH17" s="141"/>
      <c r="AI17" s="14"/>
      <c r="AJ17" s="28" t="str">
        <f t="shared" si="18"/>
        <v/>
      </c>
      <c r="AL17" s="90"/>
      <c r="AN17" s="55"/>
      <c r="AO17" s="14"/>
      <c r="AP17" s="141"/>
      <c r="AQ17" s="14"/>
      <c r="AR17" s="28" t="str">
        <f t="shared" si="19"/>
        <v/>
      </c>
      <c r="AT17" s="90"/>
      <c r="AV17" s="55"/>
      <c r="AW17" s="14"/>
      <c r="AX17" s="141"/>
      <c r="AY17" s="14"/>
      <c r="AZ17" s="28" t="str">
        <f t="shared" si="20"/>
        <v/>
      </c>
      <c r="BB17" s="90"/>
      <c r="BD17" s="55"/>
      <c r="BE17" s="14"/>
      <c r="BF17" s="141"/>
      <c r="BG17" s="14"/>
      <c r="BH17" s="28" t="str">
        <f t="shared" si="21"/>
        <v/>
      </c>
      <c r="BJ17" s="90"/>
      <c r="BL17" s="55"/>
      <c r="BM17" s="14"/>
      <c r="BN17" s="141"/>
      <c r="BO17" s="14"/>
      <c r="BP17" s="28" t="str">
        <f t="shared" si="22"/>
        <v/>
      </c>
      <c r="BR17" s="90"/>
      <c r="BT17" s="55"/>
      <c r="BU17" s="14"/>
      <c r="BV17" s="141"/>
      <c r="BW17" s="14"/>
      <c r="BX17" s="28" t="str">
        <f t="shared" si="23"/>
        <v/>
      </c>
      <c r="BZ17" s="90"/>
      <c r="CB17" s="55"/>
      <c r="CC17" s="14"/>
      <c r="CD17" s="141"/>
      <c r="CE17" s="14"/>
      <c r="CF17" s="28" t="str">
        <f t="shared" si="24"/>
        <v/>
      </c>
      <c r="CH17" s="90"/>
      <c r="CJ17" s="55"/>
      <c r="CK17" s="14"/>
      <c r="CL17" s="141"/>
      <c r="CM17" s="14"/>
      <c r="CN17" s="28" t="str">
        <f t="shared" si="25"/>
        <v/>
      </c>
      <c r="CP17" s="90"/>
      <c r="CR17" s="55"/>
      <c r="CS17" s="14"/>
      <c r="CT17" s="141"/>
      <c r="CU17" s="14"/>
      <c r="CV17" s="28" t="str">
        <f t="shared" si="26"/>
        <v/>
      </c>
      <c r="CX17" s="90"/>
    </row>
    <row r="18" spans="1:102" ht="15.6" x14ac:dyDescent="0.3">
      <c r="B18" s="49"/>
      <c r="C18" s="21" t="s">
        <v>109</v>
      </c>
      <c r="D18" s="70" t="e">
        <f t="shared" si="13"/>
        <v>#DIV/0!</v>
      </c>
      <c r="E18" s="130">
        <f t="shared" si="14"/>
        <v>0</v>
      </c>
      <c r="F18" s="73" t="str">
        <f t="shared" si="0"/>
        <v/>
      </c>
      <c r="H18" s="55"/>
      <c r="J18" s="141"/>
      <c r="L18" s="28" t="str">
        <f t="shared" si="15"/>
        <v/>
      </c>
      <c r="N18" s="90" t="str">
        <f t="shared" si="1"/>
        <v/>
      </c>
      <c r="P18" s="55"/>
      <c r="Q18" s="14"/>
      <c r="R18" s="141"/>
      <c r="S18" s="14"/>
      <c r="T18" s="28" t="str">
        <f t="shared" si="16"/>
        <v/>
      </c>
      <c r="V18" s="90"/>
      <c r="X18" s="55"/>
      <c r="Y18" s="14"/>
      <c r="Z18" s="141"/>
      <c r="AA18" s="14"/>
      <c r="AB18" s="28" t="str">
        <f t="shared" si="17"/>
        <v/>
      </c>
      <c r="AC18" s="14"/>
      <c r="AD18" s="90"/>
      <c r="AF18" s="55"/>
      <c r="AG18" s="14"/>
      <c r="AH18" s="141"/>
      <c r="AI18" s="14"/>
      <c r="AJ18" s="28" t="str">
        <f t="shared" si="18"/>
        <v/>
      </c>
      <c r="AL18" s="90"/>
      <c r="AN18" s="55"/>
      <c r="AO18" s="14"/>
      <c r="AP18" s="141"/>
      <c r="AQ18" s="14"/>
      <c r="AR18" s="28" t="str">
        <f t="shared" si="19"/>
        <v/>
      </c>
      <c r="AT18" s="90"/>
      <c r="AV18" s="55"/>
      <c r="AW18" s="14"/>
      <c r="AX18" s="141"/>
      <c r="AY18" s="14"/>
      <c r="AZ18" s="28" t="str">
        <f t="shared" si="20"/>
        <v/>
      </c>
      <c r="BB18" s="90"/>
      <c r="BD18" s="55"/>
      <c r="BE18" s="14"/>
      <c r="BF18" s="141"/>
      <c r="BG18" s="14"/>
      <c r="BH18" s="28" t="str">
        <f t="shared" si="21"/>
        <v/>
      </c>
      <c r="BJ18" s="90"/>
      <c r="BL18" s="55"/>
      <c r="BM18" s="14"/>
      <c r="BN18" s="141"/>
      <c r="BO18" s="14"/>
      <c r="BP18" s="28" t="str">
        <f t="shared" si="22"/>
        <v/>
      </c>
      <c r="BR18" s="90"/>
      <c r="BT18" s="55"/>
      <c r="BU18" s="14"/>
      <c r="BV18" s="141"/>
      <c r="BW18" s="14"/>
      <c r="BX18" s="28" t="str">
        <f t="shared" si="23"/>
        <v/>
      </c>
      <c r="BZ18" s="90"/>
      <c r="CB18" s="55"/>
      <c r="CC18" s="14"/>
      <c r="CD18" s="141"/>
      <c r="CE18" s="14"/>
      <c r="CF18" s="28" t="str">
        <f t="shared" si="24"/>
        <v/>
      </c>
      <c r="CH18" s="90"/>
      <c r="CJ18" s="55"/>
      <c r="CK18" s="14"/>
      <c r="CL18" s="141"/>
      <c r="CM18" s="14"/>
      <c r="CN18" s="28" t="str">
        <f t="shared" si="25"/>
        <v/>
      </c>
      <c r="CP18" s="90"/>
      <c r="CR18" s="55"/>
      <c r="CS18" s="14"/>
      <c r="CT18" s="141"/>
      <c r="CU18" s="14"/>
      <c r="CV18" s="28" t="str">
        <f t="shared" si="26"/>
        <v/>
      </c>
      <c r="CX18" s="90"/>
    </row>
    <row r="19" spans="1:102" ht="15.6" x14ac:dyDescent="0.3">
      <c r="B19" s="49"/>
      <c r="C19" s="21" t="s">
        <v>110</v>
      </c>
      <c r="D19" s="70" t="e">
        <f t="shared" si="13"/>
        <v>#DIV/0!</v>
      </c>
      <c r="E19" s="130">
        <f t="shared" si="14"/>
        <v>0</v>
      </c>
      <c r="F19" s="73" t="str">
        <f t="shared" si="0"/>
        <v/>
      </c>
      <c r="H19" s="55"/>
      <c r="J19" s="141"/>
      <c r="L19" s="28" t="str">
        <f t="shared" si="15"/>
        <v/>
      </c>
      <c r="N19" s="90" t="str">
        <f t="shared" si="1"/>
        <v/>
      </c>
      <c r="P19" s="55"/>
      <c r="Q19" s="14"/>
      <c r="R19" s="141"/>
      <c r="S19" s="14"/>
      <c r="T19" s="28" t="str">
        <f t="shared" si="16"/>
        <v/>
      </c>
      <c r="V19" s="90"/>
      <c r="X19" s="55"/>
      <c r="Y19" s="14"/>
      <c r="Z19" s="141"/>
      <c r="AA19" s="14"/>
      <c r="AB19" s="28" t="str">
        <f t="shared" si="17"/>
        <v/>
      </c>
      <c r="AC19" s="14"/>
      <c r="AD19" s="90"/>
      <c r="AF19" s="55"/>
      <c r="AG19" s="14"/>
      <c r="AH19" s="141"/>
      <c r="AI19" s="14"/>
      <c r="AJ19" s="28" t="str">
        <f t="shared" si="18"/>
        <v/>
      </c>
      <c r="AL19" s="90"/>
      <c r="AN19" s="55"/>
      <c r="AO19" s="14"/>
      <c r="AP19" s="141"/>
      <c r="AQ19" s="14"/>
      <c r="AR19" s="28" t="str">
        <f t="shared" si="19"/>
        <v/>
      </c>
      <c r="AT19" s="90"/>
      <c r="AV19" s="55"/>
      <c r="AW19" s="14"/>
      <c r="AX19" s="141"/>
      <c r="AY19" s="14"/>
      <c r="AZ19" s="28" t="str">
        <f t="shared" si="20"/>
        <v/>
      </c>
      <c r="BB19" s="90"/>
      <c r="BD19" s="55"/>
      <c r="BE19" s="14"/>
      <c r="BF19" s="141"/>
      <c r="BG19" s="14"/>
      <c r="BH19" s="28" t="str">
        <f t="shared" si="21"/>
        <v/>
      </c>
      <c r="BJ19" s="90"/>
      <c r="BL19" s="55"/>
      <c r="BM19" s="14"/>
      <c r="BN19" s="141"/>
      <c r="BO19" s="14"/>
      <c r="BP19" s="28" t="str">
        <f t="shared" si="22"/>
        <v/>
      </c>
      <c r="BR19" s="90"/>
      <c r="BT19" s="55"/>
      <c r="BU19" s="14"/>
      <c r="BV19" s="141"/>
      <c r="BW19" s="14"/>
      <c r="BX19" s="28" t="str">
        <f t="shared" si="23"/>
        <v/>
      </c>
      <c r="BZ19" s="90"/>
      <c r="CB19" s="55"/>
      <c r="CC19" s="14"/>
      <c r="CD19" s="141"/>
      <c r="CE19" s="14"/>
      <c r="CF19" s="28" t="str">
        <f t="shared" si="24"/>
        <v/>
      </c>
      <c r="CH19" s="90"/>
      <c r="CJ19" s="55"/>
      <c r="CK19" s="14"/>
      <c r="CL19" s="141"/>
      <c r="CM19" s="14"/>
      <c r="CN19" s="28" t="str">
        <f t="shared" si="25"/>
        <v/>
      </c>
      <c r="CP19" s="90"/>
      <c r="CR19" s="55"/>
      <c r="CS19" s="14"/>
      <c r="CT19" s="141"/>
      <c r="CU19" s="14"/>
      <c r="CV19" s="28" t="str">
        <f t="shared" si="26"/>
        <v/>
      </c>
      <c r="CX19" s="90"/>
    </row>
    <row r="20" spans="1:102" ht="15.6" x14ac:dyDescent="0.3">
      <c r="B20" s="49"/>
      <c r="C20" s="21" t="s">
        <v>105</v>
      </c>
      <c r="D20" s="70" t="e">
        <f t="shared" si="13"/>
        <v>#DIV/0!</v>
      </c>
      <c r="E20" s="130">
        <f t="shared" si="14"/>
        <v>0</v>
      </c>
      <c r="F20" s="73" t="str">
        <f t="shared" si="0"/>
        <v/>
      </c>
      <c r="H20" s="55"/>
      <c r="J20" s="141"/>
      <c r="L20" s="28" t="str">
        <f t="shared" si="15"/>
        <v/>
      </c>
      <c r="N20" s="90" t="str">
        <f t="shared" si="1"/>
        <v/>
      </c>
      <c r="P20" s="55"/>
      <c r="Q20" s="14"/>
      <c r="R20" s="141"/>
      <c r="S20" s="14"/>
      <c r="T20" s="28" t="str">
        <f t="shared" si="16"/>
        <v/>
      </c>
      <c r="V20" s="90"/>
      <c r="X20" s="55"/>
      <c r="Y20" s="14"/>
      <c r="Z20" s="141"/>
      <c r="AA20" s="14"/>
      <c r="AB20" s="28" t="str">
        <f t="shared" si="17"/>
        <v/>
      </c>
      <c r="AC20" s="14"/>
      <c r="AD20" s="90"/>
      <c r="AF20" s="55"/>
      <c r="AG20" s="14"/>
      <c r="AH20" s="141"/>
      <c r="AI20" s="14"/>
      <c r="AJ20" s="28" t="str">
        <f t="shared" si="18"/>
        <v/>
      </c>
      <c r="AL20" s="90"/>
      <c r="AN20" s="55"/>
      <c r="AO20" s="14"/>
      <c r="AP20" s="141"/>
      <c r="AQ20" s="14"/>
      <c r="AR20" s="28" t="str">
        <f t="shared" si="19"/>
        <v/>
      </c>
      <c r="AT20" s="90"/>
      <c r="AV20" s="55"/>
      <c r="AW20" s="14"/>
      <c r="AX20" s="141"/>
      <c r="AY20" s="14"/>
      <c r="AZ20" s="28" t="str">
        <f t="shared" si="20"/>
        <v/>
      </c>
      <c r="BB20" s="90"/>
      <c r="BD20" s="55"/>
      <c r="BE20" s="14"/>
      <c r="BF20" s="141"/>
      <c r="BG20" s="14"/>
      <c r="BH20" s="28" t="str">
        <f t="shared" si="21"/>
        <v/>
      </c>
      <c r="BJ20" s="90"/>
      <c r="BL20" s="55"/>
      <c r="BM20" s="14"/>
      <c r="BN20" s="141"/>
      <c r="BO20" s="14"/>
      <c r="BP20" s="28" t="str">
        <f t="shared" si="22"/>
        <v/>
      </c>
      <c r="BR20" s="90"/>
      <c r="BT20" s="55"/>
      <c r="BU20" s="14"/>
      <c r="BV20" s="141"/>
      <c r="BW20" s="14"/>
      <c r="BX20" s="28" t="str">
        <f t="shared" si="23"/>
        <v/>
      </c>
      <c r="BZ20" s="90"/>
      <c r="CB20" s="55"/>
      <c r="CC20" s="14"/>
      <c r="CD20" s="141"/>
      <c r="CE20" s="14"/>
      <c r="CF20" s="28" t="str">
        <f t="shared" si="24"/>
        <v/>
      </c>
      <c r="CH20" s="90"/>
      <c r="CJ20" s="55"/>
      <c r="CK20" s="14"/>
      <c r="CL20" s="141"/>
      <c r="CM20" s="14"/>
      <c r="CN20" s="28" t="str">
        <f t="shared" si="25"/>
        <v/>
      </c>
      <c r="CP20" s="90"/>
      <c r="CR20" s="55"/>
      <c r="CS20" s="14"/>
      <c r="CT20" s="141"/>
      <c r="CU20" s="14"/>
      <c r="CV20" s="28" t="str">
        <f t="shared" si="26"/>
        <v/>
      </c>
      <c r="CX20" s="90"/>
    </row>
    <row r="21" spans="1:102" ht="16.2" thickBot="1" x14ac:dyDescent="0.35">
      <c r="B21" s="48"/>
      <c r="C21" s="62"/>
      <c r="D21" s="71"/>
      <c r="E21" s="131"/>
      <c r="F21" s="74"/>
      <c r="H21" s="56"/>
      <c r="J21" s="143"/>
      <c r="L21" s="28"/>
      <c r="N21" s="90"/>
      <c r="P21" s="56"/>
      <c r="Q21" s="14"/>
      <c r="R21" s="143"/>
      <c r="S21" s="14"/>
      <c r="T21" s="28"/>
      <c r="V21" s="90"/>
      <c r="X21" s="56"/>
      <c r="Y21" s="14"/>
      <c r="Z21" s="143"/>
      <c r="AA21" s="14"/>
      <c r="AB21" s="28"/>
      <c r="AC21" s="14"/>
      <c r="AD21" s="90"/>
      <c r="AF21" s="56"/>
      <c r="AG21" s="14"/>
      <c r="AH21" s="143"/>
      <c r="AI21" s="14"/>
      <c r="AJ21" s="28"/>
      <c r="AL21" s="90"/>
      <c r="AN21" s="56"/>
      <c r="AO21" s="14"/>
      <c r="AP21" s="143"/>
      <c r="AQ21" s="14"/>
      <c r="AR21" s="28"/>
      <c r="AT21" s="90"/>
      <c r="AV21" s="56"/>
      <c r="AW21" s="14"/>
      <c r="AX21" s="143"/>
      <c r="AY21" s="14"/>
      <c r="AZ21" s="28"/>
      <c r="BB21" s="90"/>
      <c r="BD21" s="56"/>
      <c r="BE21" s="14"/>
      <c r="BF21" s="143"/>
      <c r="BG21" s="14"/>
      <c r="BH21" s="28"/>
      <c r="BJ21" s="90"/>
      <c r="BL21" s="56"/>
      <c r="BM21" s="14"/>
      <c r="BN21" s="143"/>
      <c r="BO21" s="14"/>
      <c r="BP21" s="28"/>
      <c r="BR21" s="90"/>
      <c r="BT21" s="56"/>
      <c r="BU21" s="14"/>
      <c r="BV21" s="143"/>
      <c r="BW21" s="14"/>
      <c r="BX21" s="28"/>
      <c r="BZ21" s="90"/>
      <c r="CB21" s="56"/>
      <c r="CC21" s="14"/>
      <c r="CD21" s="143"/>
      <c r="CE21" s="14"/>
      <c r="CF21" s="28"/>
      <c r="CH21" s="90"/>
      <c r="CJ21" s="56"/>
      <c r="CK21" s="14"/>
      <c r="CL21" s="143"/>
      <c r="CM21" s="14"/>
      <c r="CN21" s="28"/>
      <c r="CP21" s="90"/>
      <c r="CR21" s="56"/>
      <c r="CS21" s="14"/>
      <c r="CT21" s="143"/>
      <c r="CU21" s="14"/>
      <c r="CV21" s="28"/>
      <c r="CX21" s="90"/>
    </row>
    <row r="22" spans="1:102" ht="7.5" customHeight="1" thickBot="1" x14ac:dyDescent="0.35">
      <c r="D22" s="14"/>
      <c r="E22" s="116"/>
      <c r="F22" s="14"/>
      <c r="H22" s="14"/>
      <c r="P22" s="14"/>
      <c r="Q22" s="14"/>
      <c r="R22" s="14"/>
      <c r="S22" s="14"/>
      <c r="T22" s="14"/>
      <c r="X22" s="14"/>
      <c r="Y22" s="14"/>
      <c r="Z22" s="14"/>
      <c r="AA22" s="14"/>
      <c r="AB22" s="14"/>
      <c r="AC22" s="14"/>
      <c r="AF22" s="14"/>
      <c r="AG22" s="14"/>
      <c r="AH22" s="14"/>
      <c r="AI22" s="14"/>
      <c r="AJ22" s="14"/>
      <c r="AN22" s="14"/>
      <c r="AO22" s="14"/>
      <c r="AP22" s="14"/>
      <c r="AQ22" s="14"/>
      <c r="AR22" s="14"/>
      <c r="AV22" s="14"/>
      <c r="AW22" s="14"/>
      <c r="AX22" s="14"/>
      <c r="AY22" s="14"/>
      <c r="AZ22" s="14"/>
      <c r="BD22" s="14"/>
      <c r="BE22" s="14"/>
      <c r="BF22" s="14"/>
      <c r="BG22" s="14"/>
      <c r="BH22" s="14"/>
      <c r="BL22" s="14"/>
      <c r="BM22" s="14"/>
      <c r="BN22" s="14"/>
      <c r="BO22" s="14"/>
      <c r="BP22" s="14"/>
      <c r="BT22" s="14"/>
      <c r="BU22" s="14"/>
      <c r="BV22" s="14"/>
      <c r="BW22" s="14"/>
      <c r="BX22" s="14"/>
      <c r="CB22" s="14"/>
      <c r="CC22" s="14"/>
      <c r="CD22" s="14"/>
      <c r="CE22" s="14"/>
      <c r="CF22" s="14"/>
      <c r="CJ22" s="14"/>
      <c r="CK22" s="14"/>
      <c r="CL22" s="14"/>
      <c r="CM22" s="14"/>
      <c r="CN22" s="14"/>
      <c r="CR22" s="14"/>
      <c r="CS22" s="14"/>
      <c r="CT22" s="14"/>
      <c r="CU22" s="14"/>
      <c r="CV22" s="14"/>
    </row>
    <row r="23" spans="1:102" s="92" customFormat="1" ht="16.2" thickBot="1" x14ac:dyDescent="0.35">
      <c r="A23" s="87"/>
      <c r="B23" s="210" t="s">
        <v>16</v>
      </c>
      <c r="C23" s="211"/>
      <c r="D23" s="57" t="e">
        <f>D7-D14</f>
        <v>#DIV/0!</v>
      </c>
      <c r="E23" s="132" t="e">
        <f>E7-E14</f>
        <v>#VALUE!</v>
      </c>
      <c r="F23" s="58" t="e">
        <f t="shared" ref="F23" si="27">IF(E23&lt;&gt;0,E23/E$7,"")</f>
        <v>#VALUE!</v>
      </c>
      <c r="H23" s="60" t="str">
        <f>IF(H14&lt;&gt;"",(H7-H14),"")</f>
        <v/>
      </c>
      <c r="J23" s="60" t="str">
        <f>IF(J14&lt;&gt;"",(J7-J14),"")</f>
        <v/>
      </c>
      <c r="L23" s="93" t="str">
        <f>IF(J23&lt;&gt;"",J23/J7,"")</f>
        <v/>
      </c>
      <c r="N23" s="93" t="str">
        <f>IF(J23&lt;&gt;"",(J23/H23)-1,"")</f>
        <v/>
      </c>
      <c r="P23" s="60" t="str">
        <f>IF(P14&lt;&gt;"",(P7-P14),"")</f>
        <v/>
      </c>
      <c r="R23" s="60" t="str">
        <f>IF(R14&lt;&gt;"",(R7-R14),"")</f>
        <v/>
      </c>
      <c r="T23" s="93" t="str">
        <f>IF(R23&lt;&gt;"",R23/R7,"")</f>
        <v/>
      </c>
      <c r="V23" s="93" t="str">
        <f>IF(R23&lt;&gt;"",(R23/P23)-1,"")</f>
        <v/>
      </c>
      <c r="X23" s="60" t="str">
        <f>IF(X14&lt;&gt;"",(X7-X14),"")</f>
        <v/>
      </c>
      <c r="Z23" s="60" t="str">
        <f>IF(Z14&lt;&gt;"",(Z7-Z14),"")</f>
        <v/>
      </c>
      <c r="AB23" s="93" t="str">
        <f>IF(Z23&lt;&gt;"",Z23/Z7,"")</f>
        <v/>
      </c>
      <c r="AD23" s="93" t="str">
        <f>IF(Z23&lt;&gt;"",(Z23/X23)-1,"")</f>
        <v/>
      </c>
      <c r="AF23" s="60" t="str">
        <f>IF(AF14&lt;&gt;"",(AF7-AF14),"")</f>
        <v/>
      </c>
      <c r="AH23" s="60" t="str">
        <f>IF(AH14&lt;&gt;"",(AH7-AH14),"")</f>
        <v/>
      </c>
      <c r="AJ23" s="93" t="str">
        <f>IF(AH23&lt;&gt;"",AH23/AH7,"")</f>
        <v/>
      </c>
      <c r="AL23" s="93" t="str">
        <f>IF(AH23&lt;&gt;"",(AH23/AF23)-1,"")</f>
        <v/>
      </c>
      <c r="AN23" s="60" t="str">
        <f>IF(AN14&lt;&gt;"",(AN7-AN14),"")</f>
        <v/>
      </c>
      <c r="AP23" s="60" t="str">
        <f>IF(AP14&lt;&gt;"",(AP7-AP14),"")</f>
        <v/>
      </c>
      <c r="AR23" s="93" t="str">
        <f>IF(AP23&lt;&gt;"",AP23/AP7,"")</f>
        <v/>
      </c>
      <c r="AT23" s="93" t="str">
        <f>IF(AP23&lt;&gt;"",(AP23/AN23)-1,"")</f>
        <v/>
      </c>
      <c r="AV23" s="60" t="str">
        <f>IF(AV14&lt;&gt;"",(AV7-AV14),"")</f>
        <v/>
      </c>
      <c r="AX23" s="60" t="str">
        <f>IF(AX14&lt;&gt;"",(AX7-AX14),"")</f>
        <v/>
      </c>
      <c r="AZ23" s="93" t="str">
        <f>IF(AX23&lt;&gt;"",AX23/AX7,"")</f>
        <v/>
      </c>
      <c r="BB23" s="93" t="str">
        <f>IF(AX23&lt;&gt;"",(AX23/AV23)-1,"")</f>
        <v/>
      </c>
      <c r="BD23" s="60" t="str">
        <f>IF(BD14&lt;&gt;"",(BD7-BD14),"")</f>
        <v/>
      </c>
      <c r="BF23" s="60" t="str">
        <f>IF(BF14&lt;&gt;"",(BF7-BF14),"")</f>
        <v/>
      </c>
      <c r="BH23" s="93" t="str">
        <f>IF(BF23&lt;&gt;"",BF23/BF7,"")</f>
        <v/>
      </c>
      <c r="BJ23" s="93" t="str">
        <f>IF(BF23&lt;&gt;"",(BF23/BD23)-1,"")</f>
        <v/>
      </c>
      <c r="BL23" s="60" t="str">
        <f>IF(BL14&lt;&gt;"",(BL7-BL14),"")</f>
        <v/>
      </c>
      <c r="BN23" s="60" t="str">
        <f>IF(BN14&lt;&gt;"",(BN7-BN14),"")</f>
        <v/>
      </c>
      <c r="BP23" s="93" t="str">
        <f>IF(BN23&lt;&gt;"",BN23/BN7,"")</f>
        <v/>
      </c>
      <c r="BR23" s="93" t="str">
        <f>IF(BN23&lt;&gt;"",(BN23/BL23)-1,"")</f>
        <v/>
      </c>
      <c r="BT23" s="60" t="str">
        <f>IF(BT14&lt;&gt;"",(BT7-BT14),"")</f>
        <v/>
      </c>
      <c r="BV23" s="60" t="str">
        <f>IF(BV14&lt;&gt;"",(BV7-BV14),"")</f>
        <v/>
      </c>
      <c r="BX23" s="93" t="str">
        <f>IF(BV23&lt;&gt;"",BV23/BV7,"")</f>
        <v/>
      </c>
      <c r="BZ23" s="93" t="str">
        <f>IF(BV23&lt;&gt;"",(BV23/BT23)-1,"")</f>
        <v/>
      </c>
      <c r="CB23" s="60" t="str">
        <f>IF(CB14&lt;&gt;"",(CB7-CB14),"")</f>
        <v/>
      </c>
      <c r="CD23" s="60" t="str">
        <f>IF(CD14&lt;&gt;"",(CD7-CD14),"")</f>
        <v/>
      </c>
      <c r="CF23" s="93" t="str">
        <f>IF(CD23&lt;&gt;"",CD23/CD7,"")</f>
        <v/>
      </c>
      <c r="CH23" s="93" t="str">
        <f>IF(CD23&lt;&gt;"",(CD23/CB23)-1,"")</f>
        <v/>
      </c>
      <c r="CJ23" s="60" t="str">
        <f>IF(CJ14&lt;&gt;"",(CJ7-CJ14),"")</f>
        <v/>
      </c>
      <c r="CL23" s="60" t="str">
        <f>IF(CL14&lt;&gt;"",(CL7-CL14),"")</f>
        <v/>
      </c>
      <c r="CN23" s="93" t="str">
        <f>IF(CL23&lt;&gt;"",CL23/CL7,"")</f>
        <v/>
      </c>
      <c r="CP23" s="93" t="str">
        <f>IF(CL23&lt;&gt;"",(CL23/CJ23)-1,"")</f>
        <v/>
      </c>
      <c r="CR23" s="60" t="str">
        <f>IF(CR14&lt;&gt;"",(CR7-CR14),"")</f>
        <v/>
      </c>
      <c r="CT23" s="60" t="str">
        <f>IF(CT14&lt;&gt;"",(CT7-CT14),"")</f>
        <v/>
      </c>
      <c r="CV23" s="93" t="str">
        <f>IF(CT23&lt;&gt;"",CT23/CT7,"")</f>
        <v/>
      </c>
      <c r="CX23" s="93" t="str">
        <f>IF(CT23&lt;&gt;"",(CT23/CR23)-1,"")</f>
        <v/>
      </c>
    </row>
    <row r="24" spans="1:102" ht="16.2" thickBot="1" x14ac:dyDescent="0.35">
      <c r="C24" s="24"/>
      <c r="D24" s="16"/>
      <c r="E24" s="126"/>
      <c r="F24" s="17"/>
      <c r="H24" s="16"/>
      <c r="J24" s="16"/>
      <c r="L24" s="31"/>
      <c r="N24" s="31"/>
      <c r="P24" s="16"/>
      <c r="Q24" s="14"/>
      <c r="R24" s="16"/>
      <c r="S24" s="14"/>
      <c r="T24" s="31"/>
      <c r="V24" s="31"/>
      <c r="X24" s="16"/>
      <c r="Y24" s="14"/>
      <c r="Z24" s="16"/>
      <c r="AA24" s="14"/>
      <c r="AB24" s="31"/>
      <c r="AC24" s="14"/>
      <c r="AD24" s="31"/>
      <c r="AF24" s="16"/>
      <c r="AG24" s="14"/>
      <c r="AH24" s="16"/>
      <c r="AI24" s="14"/>
      <c r="AJ24" s="31"/>
      <c r="AL24" s="31"/>
      <c r="AN24" s="16"/>
      <c r="AO24" s="14"/>
      <c r="AP24" s="16"/>
      <c r="AQ24" s="14"/>
      <c r="AR24" s="31"/>
      <c r="AT24" s="31"/>
      <c r="AV24" s="16"/>
      <c r="AW24" s="14"/>
      <c r="AX24" s="16"/>
      <c r="AY24" s="14"/>
      <c r="AZ24" s="31"/>
      <c r="BB24" s="31"/>
      <c r="BD24" s="16"/>
      <c r="BE24" s="14"/>
      <c r="BF24" s="16"/>
      <c r="BG24" s="14"/>
      <c r="BH24" s="31"/>
      <c r="BJ24" s="31"/>
      <c r="BL24" s="16"/>
      <c r="BM24" s="14"/>
      <c r="BN24" s="16"/>
      <c r="BO24" s="14"/>
      <c r="BP24" s="31"/>
      <c r="BR24" s="31"/>
      <c r="BT24" s="16"/>
      <c r="BU24" s="14"/>
      <c r="BV24" s="16"/>
      <c r="BW24" s="14"/>
      <c r="BX24" s="31"/>
      <c r="BZ24" s="31"/>
      <c r="CB24" s="16"/>
      <c r="CC24" s="14"/>
      <c r="CD24" s="16"/>
      <c r="CE24" s="14"/>
      <c r="CF24" s="31"/>
      <c r="CH24" s="31"/>
      <c r="CJ24" s="16"/>
      <c r="CK24" s="14"/>
      <c r="CL24" s="16"/>
      <c r="CM24" s="14"/>
      <c r="CN24" s="31"/>
      <c r="CP24" s="31"/>
      <c r="CR24" s="16"/>
      <c r="CS24" s="14"/>
      <c r="CT24" s="16"/>
      <c r="CU24" s="14"/>
      <c r="CV24" s="31"/>
      <c r="CX24" s="31"/>
    </row>
    <row r="25" spans="1:102" ht="16.2" thickBot="1" x14ac:dyDescent="0.35">
      <c r="B25" s="208" t="s">
        <v>17</v>
      </c>
      <c r="C25" s="212"/>
      <c r="D25" s="204" t="e">
        <f>D101</f>
        <v>#DIV/0!</v>
      </c>
      <c r="E25" s="204">
        <f>E101</f>
        <v>0</v>
      </c>
      <c r="F25" s="23"/>
      <c r="G25" s="23"/>
      <c r="H25" s="23"/>
      <c r="I25" s="23"/>
      <c r="J25" s="204">
        <f>J101</f>
        <v>0</v>
      </c>
      <c r="K25" s="23"/>
      <c r="L25" s="32"/>
      <c r="M25" s="23"/>
      <c r="N25" s="32"/>
      <c r="O25" s="23"/>
      <c r="P25" s="23"/>
      <c r="Q25" s="23"/>
      <c r="R25" s="204">
        <f>R101</f>
        <v>0</v>
      </c>
      <c r="S25" s="23"/>
      <c r="T25" s="32"/>
      <c r="U25" s="23"/>
      <c r="V25" s="32"/>
      <c r="W25" s="23"/>
      <c r="X25" s="23"/>
      <c r="Y25" s="23"/>
      <c r="Z25" s="204">
        <f>Z101</f>
        <v>0</v>
      </c>
      <c r="AA25" s="23"/>
      <c r="AB25" s="32"/>
      <c r="AC25" s="23"/>
      <c r="AD25" s="32"/>
      <c r="AE25" s="23"/>
      <c r="AF25" s="23"/>
      <c r="AG25" s="23"/>
      <c r="AH25" s="204">
        <f>AH101</f>
        <v>0</v>
      </c>
      <c r="AI25" s="23"/>
      <c r="AJ25" s="32"/>
      <c r="AK25" s="23"/>
      <c r="AL25" s="32"/>
      <c r="AM25" s="23"/>
      <c r="AN25" s="23"/>
      <c r="AO25" s="23"/>
      <c r="AP25" s="204">
        <f>AP101</f>
        <v>0</v>
      </c>
      <c r="AQ25" s="23"/>
      <c r="AR25" s="32"/>
      <c r="AS25" s="23"/>
      <c r="AT25" s="32"/>
      <c r="AU25" s="23"/>
      <c r="AV25" s="23"/>
      <c r="AW25" s="23"/>
      <c r="AX25" s="204">
        <f>AX101</f>
        <v>0</v>
      </c>
      <c r="AY25" s="23"/>
      <c r="AZ25" s="32"/>
      <c r="BA25" s="23"/>
      <c r="BB25" s="32"/>
      <c r="BC25" s="23"/>
      <c r="BD25" s="23"/>
      <c r="BE25" s="23"/>
      <c r="BF25" s="204">
        <f>BF101</f>
        <v>0</v>
      </c>
      <c r="BG25" s="23"/>
      <c r="BH25" s="32"/>
      <c r="BI25" s="23"/>
      <c r="BJ25" s="32"/>
      <c r="BK25" s="23"/>
      <c r="BL25" s="23"/>
      <c r="BM25" s="23"/>
      <c r="BN25" s="204">
        <f>BN101</f>
        <v>0</v>
      </c>
      <c r="BO25" s="23"/>
      <c r="BP25" s="32"/>
      <c r="BQ25" s="23"/>
      <c r="BR25" s="32"/>
      <c r="BS25" s="23"/>
      <c r="BT25" s="23"/>
      <c r="BU25" s="23"/>
      <c r="BV25" s="204">
        <f>BV101</f>
        <v>0</v>
      </c>
      <c r="BW25" s="23"/>
      <c r="BX25" s="32"/>
      <c r="BY25" s="23"/>
      <c r="BZ25" s="32"/>
      <c r="CA25" s="23"/>
      <c r="CB25" s="23"/>
      <c r="CC25" s="23"/>
      <c r="CD25" s="204">
        <f>CD101</f>
        <v>0</v>
      </c>
      <c r="CE25" s="23"/>
      <c r="CF25" s="32"/>
      <c r="CG25" s="23"/>
      <c r="CH25" s="32"/>
      <c r="CI25" s="23"/>
      <c r="CJ25" s="23"/>
      <c r="CK25" s="23"/>
      <c r="CL25" s="204">
        <f>CL101</f>
        <v>0</v>
      </c>
      <c r="CM25" s="23"/>
      <c r="CN25" s="32"/>
      <c r="CO25" s="23"/>
      <c r="CP25" s="32"/>
      <c r="CQ25" s="23"/>
      <c r="CR25" s="23"/>
      <c r="CS25" s="23"/>
      <c r="CT25" s="204">
        <f>CT101</f>
        <v>0</v>
      </c>
      <c r="CU25" s="23"/>
      <c r="CV25" s="32"/>
      <c r="CW25" s="23"/>
      <c r="CX25" s="32"/>
    </row>
    <row r="26" spans="1:102" ht="8.25" customHeight="1" thickBot="1" x14ac:dyDescent="0.35">
      <c r="C26" s="24"/>
      <c r="D26" s="16"/>
      <c r="E26" s="126"/>
      <c r="F26" s="17"/>
      <c r="H26" s="33"/>
      <c r="J26" s="33"/>
      <c r="N26" s="31"/>
      <c r="P26" s="33"/>
      <c r="Q26" s="14"/>
      <c r="R26" s="33"/>
      <c r="S26" s="14"/>
      <c r="T26" s="14"/>
      <c r="V26" s="31"/>
      <c r="X26" s="33"/>
      <c r="Y26" s="14"/>
      <c r="Z26" s="33"/>
      <c r="AA26" s="14"/>
      <c r="AB26" s="14"/>
      <c r="AC26" s="14"/>
      <c r="AD26" s="31"/>
      <c r="AF26" s="33"/>
      <c r="AG26" s="14"/>
      <c r="AH26" s="33"/>
      <c r="AI26" s="14"/>
      <c r="AJ26" s="14"/>
      <c r="AL26" s="31"/>
      <c r="AN26" s="33"/>
      <c r="AO26" s="14"/>
      <c r="AP26" s="33"/>
      <c r="AQ26" s="14"/>
      <c r="AR26" s="14"/>
      <c r="AT26" s="31"/>
      <c r="AV26" s="33"/>
      <c r="AW26" s="14"/>
      <c r="AX26" s="33"/>
      <c r="AY26" s="14"/>
      <c r="AZ26" s="14"/>
      <c r="BB26" s="31"/>
      <c r="BD26" s="33"/>
      <c r="BE26" s="14"/>
      <c r="BF26" s="33"/>
      <c r="BG26" s="14"/>
      <c r="BH26" s="14"/>
      <c r="BJ26" s="31"/>
      <c r="BL26" s="33"/>
      <c r="BM26" s="14"/>
      <c r="BN26" s="33"/>
      <c r="BO26" s="14"/>
      <c r="BP26" s="14"/>
      <c r="BR26" s="31"/>
      <c r="BT26" s="33"/>
      <c r="BU26" s="14"/>
      <c r="BV26" s="33"/>
      <c r="BW26" s="14"/>
      <c r="BX26" s="14"/>
      <c r="BZ26" s="31"/>
      <c r="CB26" s="33"/>
      <c r="CC26" s="14"/>
      <c r="CD26" s="33"/>
      <c r="CE26" s="14"/>
      <c r="CF26" s="14"/>
      <c r="CH26" s="31"/>
      <c r="CJ26" s="33"/>
      <c r="CK26" s="14"/>
      <c r="CL26" s="33"/>
      <c r="CM26" s="14"/>
      <c r="CN26" s="14"/>
      <c r="CP26" s="31"/>
      <c r="CR26" s="33"/>
      <c r="CS26" s="14"/>
      <c r="CT26" s="33"/>
      <c r="CU26" s="14"/>
      <c r="CV26" s="14"/>
      <c r="CX26" s="31"/>
    </row>
    <row r="27" spans="1:102" ht="16.2" thickBot="1" x14ac:dyDescent="0.35">
      <c r="B27" s="208" t="s">
        <v>18</v>
      </c>
      <c r="C27" s="209"/>
      <c r="D27" s="29" t="e">
        <f>IF(SUM(D28:D41)&lt;&gt;"",SUM(D28:D41),"")</f>
        <v>#DIV/0!</v>
      </c>
      <c r="E27" s="127">
        <f>IF(SUM(E28:E41)&lt;&gt;"",SUM(E28:E41),"")</f>
        <v>0</v>
      </c>
      <c r="F27" s="54">
        <f>IF(SUM(F28:F41)&lt;&gt;"",SUM(F28:F41),"")</f>
        <v>0</v>
      </c>
      <c r="H27" s="29">
        <f>IF(SUM(H28:H41)&lt;&gt;"",SUM(H28:H41),"")</f>
        <v>0</v>
      </c>
      <c r="J27" s="29">
        <f>IF(SUM(J28:J41)&lt;&gt;"",SUM(J28:J41),"")</f>
        <v>0</v>
      </c>
      <c r="L27" s="94" t="str">
        <f>IF(SUM(L28:L41)&lt;&gt;0,SUM(L28:L41),"")</f>
        <v/>
      </c>
      <c r="N27" s="30" t="e">
        <f>IF(J27&lt;&gt;"",(J27/$D27)-1,"")</f>
        <v>#DIV/0!</v>
      </c>
      <c r="P27" s="29">
        <f>IF(SUM(P28:P41)&lt;&gt;"",SUM(P28:P41),"")</f>
        <v>0</v>
      </c>
      <c r="Q27" s="14"/>
      <c r="R27" s="29">
        <f>IF(SUM(R28:R41)&lt;&gt;"",SUM(R28:R41),"")</f>
        <v>0</v>
      </c>
      <c r="S27" s="14"/>
      <c r="T27" s="94" t="str">
        <f>IF(SUM(T28:T41)&lt;&gt;0,SUM(T28:T41),"")</f>
        <v/>
      </c>
      <c r="V27" s="94" t="str">
        <f t="shared" ref="V27:V41" si="28">IF(R27&lt;&gt;0,(R27/P27)-1,"")</f>
        <v/>
      </c>
      <c r="X27" s="29">
        <f>IF(SUM(X28:X41)&lt;&gt;"",SUM(X28:X41),"")</f>
        <v>0</v>
      </c>
      <c r="Y27" s="14"/>
      <c r="Z27" s="29">
        <f>IF(SUM(Z28:Z41)&lt;&gt;"",SUM(Z28:Z41),"")</f>
        <v>0</v>
      </c>
      <c r="AA27" s="14"/>
      <c r="AB27" s="94" t="str">
        <f>IF(SUM(AB28:AB41)&lt;&gt;0,SUM(AB28:AB41),"")</f>
        <v/>
      </c>
      <c r="AC27" s="14"/>
      <c r="AD27" s="94" t="str">
        <f t="shared" ref="AD27:AD41" si="29">IF(Z27&lt;&gt;0,(Z27/X27)-1,"")</f>
        <v/>
      </c>
      <c r="AF27" s="29">
        <f>IF(SUM(AF28:AF41)&lt;&gt;"",SUM(AF28:AF41),"")</f>
        <v>0</v>
      </c>
      <c r="AG27" s="14"/>
      <c r="AH27" s="29">
        <f>IF(SUM(AH28:AH41)&lt;&gt;"",SUM(AH28:AH41),"")</f>
        <v>0</v>
      </c>
      <c r="AI27" s="14"/>
      <c r="AJ27" s="94" t="str">
        <f>IF(SUM(AJ28:AJ41)&lt;&gt;0,SUM(AJ28:AJ41),"")</f>
        <v/>
      </c>
      <c r="AL27" s="94" t="str">
        <f t="shared" ref="AL27:AL41" si="30">IF(AH27&lt;&gt;0,(AH27/AF27)-1,"")</f>
        <v/>
      </c>
      <c r="AN27" s="29">
        <f>IF(SUM(AN28:AN41)&lt;&gt;"",SUM(AN28:AN41),"")</f>
        <v>0</v>
      </c>
      <c r="AO27" s="14"/>
      <c r="AP27" s="29">
        <f>IF(SUM(AP28:AP41)&lt;&gt;"",SUM(AP28:AP41),"")</f>
        <v>0</v>
      </c>
      <c r="AQ27" s="14"/>
      <c r="AR27" s="94" t="str">
        <f>IF(SUM(AR28:AR41)&lt;&gt;0,SUM(AR28:AR41),"")</f>
        <v/>
      </c>
      <c r="AT27" s="94" t="str">
        <f t="shared" ref="AT27:AT41" si="31">IF(AP27&lt;&gt;0,(AP27/AN27)-1,"")</f>
        <v/>
      </c>
      <c r="AV27" s="29">
        <f>IF(SUM(AV28:AV41)&lt;&gt;"",SUM(AV28:AV41),"")</f>
        <v>0</v>
      </c>
      <c r="AW27" s="14"/>
      <c r="AX27" s="29">
        <f>IF(SUM(AX28:AX41)&lt;&gt;"",SUM(AX28:AX41),"")</f>
        <v>0</v>
      </c>
      <c r="AY27" s="14"/>
      <c r="AZ27" s="94" t="str">
        <f>IF(SUM(AZ28:AZ41)&lt;&gt;0,SUM(AZ28:AZ41),"")</f>
        <v/>
      </c>
      <c r="BB27" s="94" t="str">
        <f t="shared" ref="BB27:BB41" si="32">IF(AX27&lt;&gt;0,(AX27/AV27)-1,"")</f>
        <v/>
      </c>
      <c r="BD27" s="29">
        <f>IF(SUM(BD28:BD41)&lt;&gt;"",SUM(BD28:BD41),"")</f>
        <v>0</v>
      </c>
      <c r="BE27" s="14"/>
      <c r="BF27" s="29">
        <f>IF(SUM(BF28:BF41)&lt;&gt;"",SUM(BF28:BF41),"")</f>
        <v>0</v>
      </c>
      <c r="BG27" s="14"/>
      <c r="BH27" s="94" t="str">
        <f>IF(SUM(BH28:BH41)&lt;&gt;0,SUM(BH28:BH41),"")</f>
        <v/>
      </c>
      <c r="BJ27" s="94" t="str">
        <f t="shared" ref="BJ27:BJ41" si="33">IF(BF27&lt;&gt;0,(BF27/BD27)-1,"")</f>
        <v/>
      </c>
      <c r="BL27" s="29">
        <f>IF(SUM(BL28:BL41)&lt;&gt;"",SUM(BL28:BL41),"")</f>
        <v>0</v>
      </c>
      <c r="BM27" s="14"/>
      <c r="BN27" s="29">
        <f>IF(SUM(BN28:BN41)&lt;&gt;"",SUM(BN28:BN41),"")</f>
        <v>0</v>
      </c>
      <c r="BO27" s="14"/>
      <c r="BP27" s="94" t="str">
        <f>IF(SUM(BP28:BP41)&lt;&gt;0,SUM(BP28:BP41),"")</f>
        <v/>
      </c>
      <c r="BR27" s="94" t="str">
        <f t="shared" ref="BR27:BR41" si="34">IF(BN27&lt;&gt;0,(BN27/BL27)-1,"")</f>
        <v/>
      </c>
      <c r="BT27" s="29">
        <f>IF(SUM(BT28:BT41)&lt;&gt;"",SUM(BT28:BT41),"")</f>
        <v>0</v>
      </c>
      <c r="BU27" s="14"/>
      <c r="BV27" s="29">
        <f>IF(SUM(BV28:BV41)&lt;&gt;"",SUM(BV28:BV41),"")</f>
        <v>0</v>
      </c>
      <c r="BW27" s="14"/>
      <c r="BX27" s="94" t="str">
        <f>IF(SUM(BX28:BX41)&lt;&gt;0,SUM(BX28:BX41),"")</f>
        <v/>
      </c>
      <c r="BZ27" s="94" t="str">
        <f t="shared" ref="BZ27:BZ41" si="35">IF(BV27&lt;&gt;0,(BV27/BT27)-1,"")</f>
        <v/>
      </c>
      <c r="CB27" s="29">
        <f>IF(SUM(CB28:CB41)&lt;&gt;"",SUM(CB28:CB41),"")</f>
        <v>0</v>
      </c>
      <c r="CC27" s="14"/>
      <c r="CD27" s="29">
        <f>IF(SUM(CD28:CD41)&lt;&gt;"",SUM(CD28:CD41),"")</f>
        <v>0</v>
      </c>
      <c r="CE27" s="14"/>
      <c r="CF27" s="94" t="str">
        <f>IF(SUM(CF28:CF41)&lt;&gt;0,SUM(CF28:CF41),"")</f>
        <v/>
      </c>
      <c r="CH27" s="94" t="str">
        <f t="shared" ref="CH27:CH41" si="36">IF(CD27&lt;&gt;0,(CD27/CB27)-1,"")</f>
        <v/>
      </c>
      <c r="CJ27" s="29">
        <f>IF(SUM(CJ28:CJ41)&lt;&gt;"",SUM(CJ28:CJ41),"")</f>
        <v>0</v>
      </c>
      <c r="CK27" s="14"/>
      <c r="CL27" s="29">
        <f>IF(SUM(CL28:CL41)&lt;&gt;"",SUM(CL28:CL41),"")</f>
        <v>0</v>
      </c>
      <c r="CM27" s="14"/>
      <c r="CN27" s="94" t="str">
        <f>IF(SUM(CN28:CN41)&lt;&gt;0,SUM(CN28:CN41),"")</f>
        <v/>
      </c>
      <c r="CP27" s="94" t="str">
        <f t="shared" ref="CP27:CP41" si="37">IF(CL27&lt;&gt;0,(CL27/CJ27)-1,"")</f>
        <v/>
      </c>
      <c r="CR27" s="29">
        <f>IF(SUM(CR28:CR41)&lt;&gt;"",SUM(CR28:CR41),"")</f>
        <v>0</v>
      </c>
      <c r="CS27" s="14"/>
      <c r="CT27" s="29">
        <f>IF(SUM(CT28:CT41)&lt;&gt;"",SUM(CT28:CT41),"")</f>
        <v>0</v>
      </c>
      <c r="CU27" s="14"/>
      <c r="CV27" s="94" t="str">
        <f>IF(SUM(CV28:CV41)&lt;&gt;0,SUM(CV28:CV41),"")</f>
        <v/>
      </c>
      <c r="CX27" s="94" t="str">
        <f t="shared" ref="CX27:CX41" si="38">IF(CT27&lt;&gt;0,(CT27/CR27)-1,"")</f>
        <v/>
      </c>
    </row>
    <row r="28" spans="1:102" ht="15.6" x14ac:dyDescent="0.3">
      <c r="B28" s="46"/>
      <c r="C28" s="110" t="s">
        <v>89</v>
      </c>
      <c r="D28" s="70" t="e">
        <f t="shared" ref="D28:D41" si="39">IF(AVERAGE(J28,R28,Z28,AH28,AP28,AX28,BF28,BN28,BV28,CD28,CL28,CT28)&lt;&gt;"",AVERAGE(J28,R28,Z28,AH28,AP28,AX28,BF28,BN28,BV28,CD28,CL28,CT28),"")</f>
        <v>#DIV/0!</v>
      </c>
      <c r="E28" s="130">
        <f t="shared" ref="E28:E41" si="40">IF(SUM(J28,R28,Z28,AH28,AP28,AX28,BF28,BN28,BV28,CD28,CL28,CT28)&lt;&gt;"",SUM(J28,R28,Z28,AH28,AP28,AX28,BF28,BN28,BV28,CD28,CL28,CT28),"")</f>
        <v>0</v>
      </c>
      <c r="F28" s="73" t="str">
        <f t="shared" ref="F28:F41" si="41">IF(E28&lt;&gt;0,E28/E$7,"")</f>
        <v/>
      </c>
      <c r="H28" s="95"/>
      <c r="J28" s="144"/>
      <c r="L28" s="28" t="str">
        <f>IF(J28&lt;&gt;"",J28/J$7,"")</f>
        <v/>
      </c>
      <c r="N28" s="90" t="str">
        <f t="shared" ref="N28:N41" si="42">IF(J28&lt;&gt;0,(J28/D28)-1,"")</f>
        <v/>
      </c>
      <c r="P28" s="95"/>
      <c r="Q28" s="14"/>
      <c r="R28" s="144"/>
      <c r="S28" s="14"/>
      <c r="T28" s="28" t="str">
        <f>IF(R28&lt;&gt;"",R28/R$7,"")</f>
        <v/>
      </c>
      <c r="V28" s="90" t="str">
        <f t="shared" si="28"/>
        <v/>
      </c>
      <c r="X28" s="95"/>
      <c r="Y28" s="14"/>
      <c r="Z28" s="144"/>
      <c r="AA28" s="14"/>
      <c r="AB28" s="28" t="str">
        <f>IF(Z28&lt;&gt;"",Z28/Z$7,"")</f>
        <v/>
      </c>
      <c r="AC28" s="14"/>
      <c r="AD28" s="90" t="str">
        <f t="shared" si="29"/>
        <v/>
      </c>
      <c r="AF28" s="95"/>
      <c r="AG28" s="14"/>
      <c r="AH28" s="144"/>
      <c r="AI28" s="14"/>
      <c r="AJ28" s="28" t="str">
        <f>IF(AH28&lt;&gt;"",AH28/AH$7,"")</f>
        <v/>
      </c>
      <c r="AL28" s="90" t="str">
        <f t="shared" si="30"/>
        <v/>
      </c>
      <c r="AN28" s="95"/>
      <c r="AO28" s="14"/>
      <c r="AP28" s="144"/>
      <c r="AQ28" s="14"/>
      <c r="AR28" s="28" t="str">
        <f>IF(AP28&lt;&gt;"",AP28/AP$7,"")</f>
        <v/>
      </c>
      <c r="AT28" s="90" t="str">
        <f t="shared" si="31"/>
        <v/>
      </c>
      <c r="AV28" s="95"/>
      <c r="AW28" s="14"/>
      <c r="AX28" s="144"/>
      <c r="AY28" s="14"/>
      <c r="AZ28" s="28" t="str">
        <f>IF(AX28&lt;&gt;"",AX28/AX$7,"")</f>
        <v/>
      </c>
      <c r="BB28" s="90" t="str">
        <f t="shared" si="32"/>
        <v/>
      </c>
      <c r="BD28" s="95"/>
      <c r="BE28" s="14"/>
      <c r="BF28" s="144"/>
      <c r="BG28" s="14"/>
      <c r="BH28" s="28" t="str">
        <f>IF(BF28&lt;&gt;"",BF28/BF$7,"")</f>
        <v/>
      </c>
      <c r="BJ28" s="90" t="str">
        <f t="shared" si="33"/>
        <v/>
      </c>
      <c r="BL28" s="95"/>
      <c r="BM28" s="14"/>
      <c r="BN28" s="144"/>
      <c r="BO28" s="14"/>
      <c r="BP28" s="28" t="str">
        <f>IF(BN28&lt;&gt;"",BN28/BN$7,"")</f>
        <v/>
      </c>
      <c r="BR28" s="90" t="str">
        <f t="shared" si="34"/>
        <v/>
      </c>
      <c r="BT28" s="95"/>
      <c r="BU28" s="14"/>
      <c r="BV28" s="144"/>
      <c r="BW28" s="14"/>
      <c r="BX28" s="28" t="str">
        <f>IF(BV28&lt;&gt;"",BV28/BV$7,"")</f>
        <v/>
      </c>
      <c r="BZ28" s="90" t="str">
        <f t="shared" si="35"/>
        <v/>
      </c>
      <c r="CB28" s="95"/>
      <c r="CC28" s="14"/>
      <c r="CD28" s="144"/>
      <c r="CE28" s="14"/>
      <c r="CF28" s="28" t="str">
        <f>IF(CD28&lt;&gt;"",CD28/CD$7,"")</f>
        <v/>
      </c>
      <c r="CH28" s="90" t="str">
        <f t="shared" si="36"/>
        <v/>
      </c>
      <c r="CJ28" s="95"/>
      <c r="CK28" s="14"/>
      <c r="CL28" s="144"/>
      <c r="CM28" s="14"/>
      <c r="CN28" s="28" t="str">
        <f>IF(CL28&lt;&gt;"",CL28/CL$7,"")</f>
        <v/>
      </c>
      <c r="CP28" s="90" t="str">
        <f t="shared" si="37"/>
        <v/>
      </c>
      <c r="CR28" s="95"/>
      <c r="CS28" s="14"/>
      <c r="CT28" s="144"/>
      <c r="CU28" s="14"/>
      <c r="CV28" s="28" t="str">
        <f>IF(CT28&lt;&gt;"",CT28/CT$7,"")</f>
        <v/>
      </c>
      <c r="CX28" s="90" t="str">
        <f t="shared" si="38"/>
        <v/>
      </c>
    </row>
    <row r="29" spans="1:102" ht="15.6" x14ac:dyDescent="0.3">
      <c r="B29" s="47"/>
      <c r="C29" s="21" t="s">
        <v>53</v>
      </c>
      <c r="D29" s="70" t="e">
        <f t="shared" si="39"/>
        <v>#DIV/0!</v>
      </c>
      <c r="E29" s="130">
        <f t="shared" si="40"/>
        <v>0</v>
      </c>
      <c r="F29" s="73" t="str">
        <f t="shared" si="41"/>
        <v/>
      </c>
      <c r="H29" s="96"/>
      <c r="J29" s="145"/>
      <c r="L29" s="28" t="str">
        <f>IF(J29&lt;&gt;"",J29/J$7,"")</f>
        <v/>
      </c>
      <c r="N29" s="90" t="str">
        <f t="shared" si="42"/>
        <v/>
      </c>
      <c r="P29" s="96"/>
      <c r="Q29" s="14"/>
      <c r="R29" s="145"/>
      <c r="S29" s="14"/>
      <c r="T29" s="28" t="str">
        <f>IF(R29&lt;&gt;"",R29/R$7,"")</f>
        <v/>
      </c>
      <c r="V29" s="90" t="str">
        <f t="shared" si="28"/>
        <v/>
      </c>
      <c r="X29" s="96"/>
      <c r="Y29" s="14"/>
      <c r="Z29" s="145"/>
      <c r="AA29" s="14"/>
      <c r="AB29" s="28" t="str">
        <f>IF(Z29&lt;&gt;"",Z29/Z$7,"")</f>
        <v/>
      </c>
      <c r="AC29" s="14"/>
      <c r="AD29" s="90" t="str">
        <f t="shared" si="29"/>
        <v/>
      </c>
      <c r="AF29" s="96"/>
      <c r="AG29" s="14"/>
      <c r="AH29" s="145"/>
      <c r="AI29" s="14"/>
      <c r="AJ29" s="28" t="str">
        <f>IF(AH29&lt;&gt;"",AH29/AH$7,"")</f>
        <v/>
      </c>
      <c r="AL29" s="90" t="str">
        <f t="shared" si="30"/>
        <v/>
      </c>
      <c r="AN29" s="96"/>
      <c r="AO29" s="14"/>
      <c r="AP29" s="145"/>
      <c r="AQ29" s="14"/>
      <c r="AR29" s="28" t="str">
        <f>IF(AP29&lt;&gt;"",AP29/AP$7,"")</f>
        <v/>
      </c>
      <c r="AT29" s="90" t="str">
        <f t="shared" si="31"/>
        <v/>
      </c>
      <c r="AV29" s="96"/>
      <c r="AW29" s="14"/>
      <c r="AX29" s="145"/>
      <c r="AY29" s="14"/>
      <c r="AZ29" s="28" t="str">
        <f>IF(AX29&lt;&gt;"",AX29/AX$7,"")</f>
        <v/>
      </c>
      <c r="BB29" s="90" t="str">
        <f t="shared" si="32"/>
        <v/>
      </c>
      <c r="BD29" s="96"/>
      <c r="BE29" s="14"/>
      <c r="BF29" s="145"/>
      <c r="BG29" s="14"/>
      <c r="BH29" s="28" t="str">
        <f>IF(BF29&lt;&gt;"",BF29/BF$7,"")</f>
        <v/>
      </c>
      <c r="BJ29" s="90" t="str">
        <f t="shared" si="33"/>
        <v/>
      </c>
      <c r="BL29" s="96"/>
      <c r="BM29" s="14"/>
      <c r="BN29" s="145"/>
      <c r="BO29" s="14"/>
      <c r="BP29" s="28" t="str">
        <f>IF(BN29&lt;&gt;"",BN29/BN$7,"")</f>
        <v/>
      </c>
      <c r="BR29" s="90" t="str">
        <f t="shared" si="34"/>
        <v/>
      </c>
      <c r="BT29" s="96"/>
      <c r="BU29" s="14"/>
      <c r="BV29" s="145"/>
      <c r="BW29" s="14"/>
      <c r="BX29" s="28" t="str">
        <f>IF(BV29&lt;&gt;"",BV29/BV$7,"")</f>
        <v/>
      </c>
      <c r="BZ29" s="90" t="str">
        <f t="shared" si="35"/>
        <v/>
      </c>
      <c r="CB29" s="96"/>
      <c r="CC29" s="14"/>
      <c r="CD29" s="145"/>
      <c r="CE29" s="14"/>
      <c r="CF29" s="28" t="str">
        <f>IF(CD29&lt;&gt;"",CD29/CD$7,"")</f>
        <v/>
      </c>
      <c r="CH29" s="90" t="str">
        <f t="shared" si="36"/>
        <v/>
      </c>
      <c r="CJ29" s="96"/>
      <c r="CK29" s="14"/>
      <c r="CL29" s="145"/>
      <c r="CM29" s="14"/>
      <c r="CN29" s="28" t="str">
        <f>IF(CL29&lt;&gt;"",CL29/CL$7,"")</f>
        <v/>
      </c>
      <c r="CP29" s="90" t="str">
        <f t="shared" si="37"/>
        <v/>
      </c>
      <c r="CR29" s="96"/>
      <c r="CS29" s="14"/>
      <c r="CT29" s="145"/>
      <c r="CU29" s="14"/>
      <c r="CV29" s="28" t="str">
        <f>IF(CT29&lt;&gt;"",CT29/CT$7,"")</f>
        <v/>
      </c>
      <c r="CX29" s="90" t="str">
        <f t="shared" si="38"/>
        <v/>
      </c>
    </row>
    <row r="30" spans="1:102" ht="15.6" x14ac:dyDescent="0.3">
      <c r="B30" s="47"/>
      <c r="C30" s="21" t="s">
        <v>125</v>
      </c>
      <c r="D30" s="70" t="e">
        <f t="shared" si="39"/>
        <v>#DIV/0!</v>
      </c>
      <c r="E30" s="130">
        <f t="shared" si="40"/>
        <v>0</v>
      </c>
      <c r="F30" s="73" t="str">
        <f t="shared" si="41"/>
        <v/>
      </c>
      <c r="H30" s="27"/>
      <c r="J30" s="146"/>
      <c r="L30" s="28" t="str">
        <f t="shared" ref="L30:L41" si="43">IF(J30&lt;&gt;"",J30/J$7,"")</f>
        <v/>
      </c>
      <c r="N30" s="90" t="str">
        <f t="shared" si="42"/>
        <v/>
      </c>
      <c r="P30" s="27"/>
      <c r="Q30" s="14"/>
      <c r="R30" s="146"/>
      <c r="S30" s="14"/>
      <c r="T30" s="28" t="str">
        <f t="shared" ref="T30:T41" si="44">IF(R30&lt;&gt;"",R30/R$7,"")</f>
        <v/>
      </c>
      <c r="V30" s="90" t="str">
        <f t="shared" si="28"/>
        <v/>
      </c>
      <c r="X30" s="27"/>
      <c r="Y30" s="14"/>
      <c r="Z30" s="146"/>
      <c r="AA30" s="14"/>
      <c r="AB30" s="28" t="str">
        <f t="shared" ref="AB30:AB41" si="45">IF(Z30&lt;&gt;"",Z30/Z$7,"")</f>
        <v/>
      </c>
      <c r="AC30" s="14"/>
      <c r="AD30" s="90" t="str">
        <f t="shared" si="29"/>
        <v/>
      </c>
      <c r="AF30" s="27"/>
      <c r="AG30" s="14"/>
      <c r="AH30" s="146"/>
      <c r="AI30" s="14"/>
      <c r="AJ30" s="28" t="str">
        <f t="shared" ref="AJ30:AJ41" si="46">IF(AH30&lt;&gt;"",AH30/AH$7,"")</f>
        <v/>
      </c>
      <c r="AL30" s="90" t="str">
        <f t="shared" si="30"/>
        <v/>
      </c>
      <c r="AN30" s="27"/>
      <c r="AO30" s="14"/>
      <c r="AP30" s="146"/>
      <c r="AQ30" s="14"/>
      <c r="AR30" s="28" t="str">
        <f t="shared" ref="AR30:AR41" si="47">IF(AP30&lt;&gt;"",AP30/AP$7,"")</f>
        <v/>
      </c>
      <c r="AT30" s="90" t="str">
        <f t="shared" si="31"/>
        <v/>
      </c>
      <c r="AV30" s="27"/>
      <c r="AW30" s="14"/>
      <c r="AX30" s="146"/>
      <c r="AY30" s="14"/>
      <c r="AZ30" s="28" t="str">
        <f t="shared" ref="AZ30:AZ41" si="48">IF(AX30&lt;&gt;"",AX30/AX$7,"")</f>
        <v/>
      </c>
      <c r="BB30" s="90" t="str">
        <f t="shared" si="32"/>
        <v/>
      </c>
      <c r="BD30" s="27"/>
      <c r="BE30" s="14"/>
      <c r="BF30" s="146"/>
      <c r="BG30" s="14"/>
      <c r="BH30" s="28" t="str">
        <f t="shared" ref="BH30:BH41" si="49">IF(BF30&lt;&gt;"",BF30/BF$7,"")</f>
        <v/>
      </c>
      <c r="BJ30" s="90" t="str">
        <f t="shared" si="33"/>
        <v/>
      </c>
      <c r="BL30" s="27"/>
      <c r="BM30" s="14"/>
      <c r="BN30" s="146"/>
      <c r="BO30" s="14"/>
      <c r="BP30" s="28" t="str">
        <f t="shared" ref="BP30:BP41" si="50">IF(BN30&lt;&gt;"",BN30/BN$7,"")</f>
        <v/>
      </c>
      <c r="BR30" s="90" t="str">
        <f t="shared" si="34"/>
        <v/>
      </c>
      <c r="BT30" s="27"/>
      <c r="BU30" s="14"/>
      <c r="BV30" s="146"/>
      <c r="BW30" s="14"/>
      <c r="BX30" s="28" t="str">
        <f t="shared" ref="BX30:BX41" si="51">IF(BV30&lt;&gt;"",BV30/BV$7,"")</f>
        <v/>
      </c>
      <c r="BZ30" s="90" t="str">
        <f t="shared" si="35"/>
        <v/>
      </c>
      <c r="CB30" s="27"/>
      <c r="CC30" s="14"/>
      <c r="CD30" s="146"/>
      <c r="CE30" s="14"/>
      <c r="CF30" s="28" t="str">
        <f t="shared" ref="CF30:CF41" si="52">IF(CD30&lt;&gt;"",CD30/CD$7,"")</f>
        <v/>
      </c>
      <c r="CH30" s="90" t="str">
        <f t="shared" si="36"/>
        <v/>
      </c>
      <c r="CJ30" s="27"/>
      <c r="CK30" s="14"/>
      <c r="CL30" s="146"/>
      <c r="CM30" s="14"/>
      <c r="CN30" s="28" t="str">
        <f t="shared" ref="CN30:CN41" si="53">IF(CL30&lt;&gt;"",CL30/CL$7,"")</f>
        <v/>
      </c>
      <c r="CP30" s="90" t="str">
        <f t="shared" si="37"/>
        <v/>
      </c>
      <c r="CR30" s="27"/>
      <c r="CS30" s="14"/>
      <c r="CT30" s="146"/>
      <c r="CU30" s="14"/>
      <c r="CV30" s="28" t="str">
        <f t="shared" ref="CV30:CV41" si="54">IF(CT30&lt;&gt;"",CT30/CT$7,"")</f>
        <v/>
      </c>
      <c r="CX30" s="90" t="str">
        <f t="shared" si="38"/>
        <v/>
      </c>
    </row>
    <row r="31" spans="1:102" ht="15.6" x14ac:dyDescent="0.3">
      <c r="B31" s="47"/>
      <c r="C31" s="21" t="s">
        <v>82</v>
      </c>
      <c r="D31" s="70" t="e">
        <f t="shared" si="39"/>
        <v>#DIV/0!</v>
      </c>
      <c r="E31" s="130">
        <f t="shared" si="40"/>
        <v>0</v>
      </c>
      <c r="F31" s="73" t="str">
        <f t="shared" si="41"/>
        <v/>
      </c>
      <c r="H31" s="27"/>
      <c r="J31" s="146"/>
      <c r="L31" s="28" t="str">
        <f t="shared" si="43"/>
        <v/>
      </c>
      <c r="N31" s="90" t="str">
        <f t="shared" si="42"/>
        <v/>
      </c>
      <c r="P31" s="27"/>
      <c r="Q31" s="14"/>
      <c r="R31" s="146"/>
      <c r="S31" s="14"/>
      <c r="T31" s="28" t="str">
        <f t="shared" si="44"/>
        <v/>
      </c>
      <c r="V31" s="90"/>
      <c r="X31" s="27"/>
      <c r="Y31" s="14"/>
      <c r="Z31" s="146"/>
      <c r="AA31" s="14"/>
      <c r="AB31" s="28" t="str">
        <f t="shared" si="45"/>
        <v/>
      </c>
      <c r="AC31" s="14"/>
      <c r="AD31" s="90"/>
      <c r="AF31" s="27"/>
      <c r="AG31" s="14"/>
      <c r="AH31" s="146"/>
      <c r="AI31" s="14"/>
      <c r="AJ31" s="28" t="str">
        <f t="shared" si="46"/>
        <v/>
      </c>
      <c r="AL31" s="90"/>
      <c r="AN31" s="27"/>
      <c r="AO31" s="14"/>
      <c r="AP31" s="146"/>
      <c r="AQ31" s="14"/>
      <c r="AR31" s="28" t="str">
        <f t="shared" si="47"/>
        <v/>
      </c>
      <c r="AT31" s="90"/>
      <c r="AV31" s="27"/>
      <c r="AW31" s="14"/>
      <c r="AX31" s="146"/>
      <c r="AY31" s="14"/>
      <c r="AZ31" s="28" t="str">
        <f t="shared" si="48"/>
        <v/>
      </c>
      <c r="BB31" s="90"/>
      <c r="BD31" s="27"/>
      <c r="BE31" s="14"/>
      <c r="BF31" s="146"/>
      <c r="BG31" s="14"/>
      <c r="BH31" s="28" t="str">
        <f t="shared" si="49"/>
        <v/>
      </c>
      <c r="BJ31" s="90"/>
      <c r="BL31" s="27"/>
      <c r="BM31" s="14"/>
      <c r="BN31" s="146"/>
      <c r="BO31" s="14"/>
      <c r="BP31" s="28" t="str">
        <f t="shared" si="50"/>
        <v/>
      </c>
      <c r="BR31" s="90"/>
      <c r="BT31" s="27"/>
      <c r="BU31" s="14"/>
      <c r="BV31" s="146"/>
      <c r="BW31" s="14"/>
      <c r="BX31" s="28" t="str">
        <f t="shared" si="51"/>
        <v/>
      </c>
      <c r="BZ31" s="90"/>
      <c r="CB31" s="27"/>
      <c r="CC31" s="14"/>
      <c r="CD31" s="146"/>
      <c r="CE31" s="14"/>
      <c r="CF31" s="28" t="str">
        <f t="shared" si="52"/>
        <v/>
      </c>
      <c r="CH31" s="90"/>
      <c r="CJ31" s="27"/>
      <c r="CK31" s="14"/>
      <c r="CL31" s="146"/>
      <c r="CM31" s="14"/>
      <c r="CN31" s="28" t="str">
        <f t="shared" si="53"/>
        <v/>
      </c>
      <c r="CP31" s="90"/>
      <c r="CR31" s="27"/>
      <c r="CS31" s="14"/>
      <c r="CT31" s="146"/>
      <c r="CU31" s="14"/>
      <c r="CV31" s="28" t="str">
        <f t="shared" si="54"/>
        <v/>
      </c>
      <c r="CX31" s="90"/>
    </row>
    <row r="32" spans="1:102" ht="15.6" x14ac:dyDescent="0.3">
      <c r="B32" s="47"/>
      <c r="C32" s="21" t="s">
        <v>112</v>
      </c>
      <c r="D32" s="70" t="e">
        <f t="shared" si="39"/>
        <v>#DIV/0!</v>
      </c>
      <c r="E32" s="130">
        <f t="shared" si="40"/>
        <v>0</v>
      </c>
      <c r="F32" s="73" t="str">
        <f t="shared" si="41"/>
        <v/>
      </c>
      <c r="H32" s="96"/>
      <c r="J32" s="145"/>
      <c r="L32" s="28" t="str">
        <f t="shared" si="43"/>
        <v/>
      </c>
      <c r="N32" s="90" t="str">
        <f t="shared" si="42"/>
        <v/>
      </c>
      <c r="P32" s="96"/>
      <c r="Q32" s="14"/>
      <c r="R32" s="145"/>
      <c r="S32" s="14"/>
      <c r="T32" s="28" t="str">
        <f t="shared" si="44"/>
        <v/>
      </c>
      <c r="V32" s="90" t="str">
        <f t="shared" si="28"/>
        <v/>
      </c>
      <c r="X32" s="96"/>
      <c r="Y32" s="14"/>
      <c r="Z32" s="145"/>
      <c r="AA32" s="14"/>
      <c r="AB32" s="28" t="str">
        <f t="shared" si="45"/>
        <v/>
      </c>
      <c r="AC32" s="14"/>
      <c r="AD32" s="90" t="str">
        <f t="shared" si="29"/>
        <v/>
      </c>
      <c r="AF32" s="96"/>
      <c r="AG32" s="14"/>
      <c r="AH32" s="145"/>
      <c r="AI32" s="14"/>
      <c r="AJ32" s="28" t="str">
        <f t="shared" si="46"/>
        <v/>
      </c>
      <c r="AL32" s="90" t="str">
        <f t="shared" si="30"/>
        <v/>
      </c>
      <c r="AN32" s="96"/>
      <c r="AO32" s="14"/>
      <c r="AP32" s="145"/>
      <c r="AQ32" s="14"/>
      <c r="AR32" s="28" t="str">
        <f t="shared" si="47"/>
        <v/>
      </c>
      <c r="AT32" s="90" t="str">
        <f t="shared" si="31"/>
        <v/>
      </c>
      <c r="AV32" s="96"/>
      <c r="AW32" s="14"/>
      <c r="AX32" s="145"/>
      <c r="AY32" s="14"/>
      <c r="AZ32" s="28" t="str">
        <f t="shared" si="48"/>
        <v/>
      </c>
      <c r="BB32" s="90" t="str">
        <f t="shared" si="32"/>
        <v/>
      </c>
      <c r="BD32" s="96"/>
      <c r="BE32" s="14"/>
      <c r="BF32" s="145"/>
      <c r="BG32" s="14"/>
      <c r="BH32" s="28" t="str">
        <f t="shared" si="49"/>
        <v/>
      </c>
      <c r="BJ32" s="90" t="str">
        <f t="shared" si="33"/>
        <v/>
      </c>
      <c r="BL32" s="96"/>
      <c r="BM32" s="14"/>
      <c r="BN32" s="145"/>
      <c r="BO32" s="14"/>
      <c r="BP32" s="28" t="str">
        <f t="shared" si="50"/>
        <v/>
      </c>
      <c r="BR32" s="90" t="str">
        <f t="shared" si="34"/>
        <v/>
      </c>
      <c r="BT32" s="96"/>
      <c r="BU32" s="14"/>
      <c r="BV32" s="145"/>
      <c r="BW32" s="14"/>
      <c r="BX32" s="28" t="str">
        <f t="shared" si="51"/>
        <v/>
      </c>
      <c r="BZ32" s="90" t="str">
        <f t="shared" si="35"/>
        <v/>
      </c>
      <c r="CB32" s="96"/>
      <c r="CC32" s="14"/>
      <c r="CD32" s="145"/>
      <c r="CE32" s="14"/>
      <c r="CF32" s="28" t="str">
        <f t="shared" si="52"/>
        <v/>
      </c>
      <c r="CH32" s="90" t="str">
        <f t="shared" si="36"/>
        <v/>
      </c>
      <c r="CJ32" s="96"/>
      <c r="CK32" s="14"/>
      <c r="CL32" s="145"/>
      <c r="CM32" s="14"/>
      <c r="CN32" s="28" t="str">
        <f t="shared" si="53"/>
        <v/>
      </c>
      <c r="CP32" s="90" t="str">
        <f t="shared" si="37"/>
        <v/>
      </c>
      <c r="CR32" s="96"/>
      <c r="CS32" s="14"/>
      <c r="CT32" s="145"/>
      <c r="CU32" s="14"/>
      <c r="CV32" s="28" t="str">
        <f t="shared" si="54"/>
        <v/>
      </c>
      <c r="CX32" s="90" t="str">
        <f t="shared" si="38"/>
        <v/>
      </c>
    </row>
    <row r="33" spans="1:102" ht="15.6" x14ac:dyDescent="0.3">
      <c r="B33" s="47"/>
      <c r="C33" s="21" t="s">
        <v>113</v>
      </c>
      <c r="D33" s="70" t="e">
        <f t="shared" si="39"/>
        <v>#DIV/0!</v>
      </c>
      <c r="E33" s="130">
        <f t="shared" si="40"/>
        <v>0</v>
      </c>
      <c r="F33" s="73" t="str">
        <f t="shared" si="41"/>
        <v/>
      </c>
      <c r="H33" s="96"/>
      <c r="J33" s="145"/>
      <c r="L33" s="28" t="str">
        <f t="shared" si="43"/>
        <v/>
      </c>
      <c r="N33" s="90" t="str">
        <f t="shared" si="42"/>
        <v/>
      </c>
      <c r="P33" s="96"/>
      <c r="Q33" s="14"/>
      <c r="R33" s="145"/>
      <c r="S33" s="14"/>
      <c r="T33" s="28" t="str">
        <f t="shared" si="44"/>
        <v/>
      </c>
      <c r="V33" s="90" t="str">
        <f t="shared" si="28"/>
        <v/>
      </c>
      <c r="X33" s="96"/>
      <c r="Y33" s="14"/>
      <c r="Z33" s="145"/>
      <c r="AA33" s="14"/>
      <c r="AB33" s="28" t="str">
        <f t="shared" si="45"/>
        <v/>
      </c>
      <c r="AC33" s="14"/>
      <c r="AD33" s="90" t="str">
        <f t="shared" si="29"/>
        <v/>
      </c>
      <c r="AF33" s="96"/>
      <c r="AG33" s="14"/>
      <c r="AH33" s="145"/>
      <c r="AI33" s="14"/>
      <c r="AJ33" s="28" t="str">
        <f t="shared" si="46"/>
        <v/>
      </c>
      <c r="AL33" s="90" t="str">
        <f t="shared" si="30"/>
        <v/>
      </c>
      <c r="AN33" s="96"/>
      <c r="AO33" s="14"/>
      <c r="AP33" s="145"/>
      <c r="AQ33" s="14"/>
      <c r="AR33" s="28" t="str">
        <f t="shared" si="47"/>
        <v/>
      </c>
      <c r="AT33" s="90" t="str">
        <f t="shared" si="31"/>
        <v/>
      </c>
      <c r="AV33" s="96"/>
      <c r="AW33" s="14"/>
      <c r="AX33" s="145"/>
      <c r="AY33" s="14"/>
      <c r="AZ33" s="28" t="str">
        <f t="shared" si="48"/>
        <v/>
      </c>
      <c r="BB33" s="90" t="str">
        <f t="shared" si="32"/>
        <v/>
      </c>
      <c r="BD33" s="96"/>
      <c r="BE33" s="14"/>
      <c r="BF33" s="145"/>
      <c r="BG33" s="14"/>
      <c r="BH33" s="28" t="str">
        <f t="shared" si="49"/>
        <v/>
      </c>
      <c r="BJ33" s="90" t="str">
        <f t="shared" si="33"/>
        <v/>
      </c>
      <c r="BL33" s="96"/>
      <c r="BM33" s="14"/>
      <c r="BN33" s="145"/>
      <c r="BO33" s="14"/>
      <c r="BP33" s="28" t="str">
        <f t="shared" si="50"/>
        <v/>
      </c>
      <c r="BR33" s="90" t="str">
        <f t="shared" si="34"/>
        <v/>
      </c>
      <c r="BT33" s="96"/>
      <c r="BU33" s="14"/>
      <c r="BV33" s="145"/>
      <c r="BW33" s="14"/>
      <c r="BX33" s="28" t="str">
        <f t="shared" si="51"/>
        <v/>
      </c>
      <c r="BZ33" s="90" t="str">
        <f t="shared" si="35"/>
        <v/>
      </c>
      <c r="CB33" s="96"/>
      <c r="CC33" s="14"/>
      <c r="CD33" s="145"/>
      <c r="CE33" s="14"/>
      <c r="CF33" s="28" t="str">
        <f t="shared" si="52"/>
        <v/>
      </c>
      <c r="CH33" s="90" t="str">
        <f t="shared" si="36"/>
        <v/>
      </c>
      <c r="CJ33" s="96"/>
      <c r="CK33" s="14"/>
      <c r="CL33" s="145"/>
      <c r="CM33" s="14"/>
      <c r="CN33" s="28" t="str">
        <f t="shared" si="53"/>
        <v/>
      </c>
      <c r="CP33" s="90" t="str">
        <f t="shared" si="37"/>
        <v/>
      </c>
      <c r="CR33" s="96"/>
      <c r="CS33" s="14"/>
      <c r="CT33" s="145"/>
      <c r="CU33" s="14"/>
      <c r="CV33" s="28" t="str">
        <f t="shared" si="54"/>
        <v/>
      </c>
      <c r="CX33" s="90" t="str">
        <f t="shared" si="38"/>
        <v/>
      </c>
    </row>
    <row r="34" spans="1:102" ht="15.6" x14ac:dyDescent="0.3">
      <c r="B34" s="47"/>
      <c r="C34" s="21" t="s">
        <v>19</v>
      </c>
      <c r="D34" s="70" t="e">
        <f t="shared" si="39"/>
        <v>#DIV/0!</v>
      </c>
      <c r="E34" s="130">
        <f t="shared" si="40"/>
        <v>0</v>
      </c>
      <c r="F34" s="73" t="str">
        <f t="shared" si="41"/>
        <v/>
      </c>
      <c r="H34" s="96"/>
      <c r="J34" s="145"/>
      <c r="L34" s="28" t="str">
        <f t="shared" si="43"/>
        <v/>
      </c>
      <c r="N34" s="90" t="str">
        <f t="shared" si="42"/>
        <v/>
      </c>
      <c r="P34" s="96"/>
      <c r="Q34" s="14"/>
      <c r="R34" s="145"/>
      <c r="S34" s="14"/>
      <c r="T34" s="28" t="str">
        <f t="shared" si="44"/>
        <v/>
      </c>
      <c r="V34" s="90" t="str">
        <f t="shared" si="28"/>
        <v/>
      </c>
      <c r="X34" s="96"/>
      <c r="Y34" s="14"/>
      <c r="Z34" s="145"/>
      <c r="AA34" s="14"/>
      <c r="AB34" s="28" t="str">
        <f t="shared" si="45"/>
        <v/>
      </c>
      <c r="AC34" s="14"/>
      <c r="AD34" s="90" t="str">
        <f t="shared" si="29"/>
        <v/>
      </c>
      <c r="AF34" s="96"/>
      <c r="AG34" s="14"/>
      <c r="AH34" s="145"/>
      <c r="AI34" s="14"/>
      <c r="AJ34" s="28" t="str">
        <f t="shared" si="46"/>
        <v/>
      </c>
      <c r="AL34" s="90" t="str">
        <f t="shared" si="30"/>
        <v/>
      </c>
      <c r="AN34" s="96"/>
      <c r="AO34" s="14"/>
      <c r="AP34" s="145"/>
      <c r="AQ34" s="14"/>
      <c r="AR34" s="28" t="str">
        <f t="shared" si="47"/>
        <v/>
      </c>
      <c r="AT34" s="90"/>
      <c r="AV34" s="96"/>
      <c r="AW34" s="14"/>
      <c r="AX34" s="145"/>
      <c r="AY34" s="14"/>
      <c r="AZ34" s="28" t="str">
        <f t="shared" si="48"/>
        <v/>
      </c>
      <c r="BB34" s="90" t="str">
        <f t="shared" si="32"/>
        <v/>
      </c>
      <c r="BD34" s="96"/>
      <c r="BE34" s="14"/>
      <c r="BF34" s="145"/>
      <c r="BG34" s="14"/>
      <c r="BH34" s="28" t="str">
        <f t="shared" si="49"/>
        <v/>
      </c>
      <c r="BJ34" s="90" t="str">
        <f t="shared" si="33"/>
        <v/>
      </c>
      <c r="BL34" s="96"/>
      <c r="BM34" s="14"/>
      <c r="BN34" s="145"/>
      <c r="BO34" s="14"/>
      <c r="BP34" s="28" t="str">
        <f t="shared" si="50"/>
        <v/>
      </c>
      <c r="BR34" s="90" t="str">
        <f t="shared" si="34"/>
        <v/>
      </c>
      <c r="BT34" s="96"/>
      <c r="BU34" s="14"/>
      <c r="BV34" s="145"/>
      <c r="BW34" s="14"/>
      <c r="BX34" s="28" t="str">
        <f t="shared" si="51"/>
        <v/>
      </c>
      <c r="BZ34" s="90" t="str">
        <f t="shared" si="35"/>
        <v/>
      </c>
      <c r="CB34" s="96"/>
      <c r="CC34" s="14"/>
      <c r="CD34" s="145"/>
      <c r="CE34" s="14"/>
      <c r="CF34" s="28" t="str">
        <f t="shared" si="52"/>
        <v/>
      </c>
      <c r="CH34" s="90" t="str">
        <f t="shared" si="36"/>
        <v/>
      </c>
      <c r="CJ34" s="96"/>
      <c r="CK34" s="14"/>
      <c r="CL34" s="145"/>
      <c r="CM34" s="14"/>
      <c r="CN34" s="28" t="str">
        <f t="shared" si="53"/>
        <v/>
      </c>
      <c r="CP34" s="90" t="str">
        <f t="shared" si="37"/>
        <v/>
      </c>
      <c r="CR34" s="96"/>
      <c r="CS34" s="14"/>
      <c r="CT34" s="145"/>
      <c r="CU34" s="14"/>
      <c r="CV34" s="28" t="str">
        <f t="shared" si="54"/>
        <v/>
      </c>
      <c r="CX34" s="90"/>
    </row>
    <row r="35" spans="1:102" ht="15.6" x14ac:dyDescent="0.3">
      <c r="B35" s="47"/>
      <c r="C35" s="21" t="s">
        <v>20</v>
      </c>
      <c r="D35" s="70" t="e">
        <f t="shared" si="39"/>
        <v>#DIV/0!</v>
      </c>
      <c r="E35" s="130">
        <f t="shared" si="40"/>
        <v>0</v>
      </c>
      <c r="F35" s="73" t="str">
        <f t="shared" si="41"/>
        <v/>
      </c>
      <c r="H35" s="96"/>
      <c r="J35" s="145"/>
      <c r="L35" s="28" t="str">
        <f t="shared" si="43"/>
        <v/>
      </c>
      <c r="N35" s="90" t="str">
        <f t="shared" si="42"/>
        <v/>
      </c>
      <c r="P35" s="96"/>
      <c r="Q35" s="14"/>
      <c r="R35" s="145"/>
      <c r="S35" s="14"/>
      <c r="T35" s="28" t="str">
        <f t="shared" si="44"/>
        <v/>
      </c>
      <c r="V35" s="90" t="str">
        <f t="shared" si="28"/>
        <v/>
      </c>
      <c r="X35" s="96"/>
      <c r="Y35" s="14"/>
      <c r="Z35" s="145"/>
      <c r="AA35" s="14"/>
      <c r="AB35" s="28" t="str">
        <f t="shared" si="45"/>
        <v/>
      </c>
      <c r="AC35" s="14"/>
      <c r="AD35" s="90" t="str">
        <f t="shared" si="29"/>
        <v/>
      </c>
      <c r="AF35" s="96"/>
      <c r="AG35" s="14"/>
      <c r="AH35" s="145"/>
      <c r="AI35" s="14"/>
      <c r="AJ35" s="28" t="str">
        <f t="shared" si="46"/>
        <v/>
      </c>
      <c r="AL35" s="90" t="str">
        <f t="shared" si="30"/>
        <v/>
      </c>
      <c r="AN35" s="96"/>
      <c r="AO35" s="14"/>
      <c r="AP35" s="145"/>
      <c r="AQ35" s="14"/>
      <c r="AR35" s="28" t="str">
        <f t="shared" si="47"/>
        <v/>
      </c>
      <c r="AT35" s="90"/>
      <c r="AV35" s="96"/>
      <c r="AW35" s="14"/>
      <c r="AX35" s="145"/>
      <c r="AY35" s="14"/>
      <c r="AZ35" s="28" t="str">
        <f t="shared" si="48"/>
        <v/>
      </c>
      <c r="BB35" s="90"/>
      <c r="BD35" s="96"/>
      <c r="BE35" s="14"/>
      <c r="BF35" s="145"/>
      <c r="BG35" s="14"/>
      <c r="BH35" s="28" t="str">
        <f t="shared" si="49"/>
        <v/>
      </c>
      <c r="BJ35" s="90"/>
      <c r="BL35" s="96"/>
      <c r="BM35" s="14"/>
      <c r="BN35" s="145"/>
      <c r="BO35" s="14"/>
      <c r="BP35" s="28" t="str">
        <f t="shared" si="50"/>
        <v/>
      </c>
      <c r="BR35" s="90" t="str">
        <f t="shared" si="34"/>
        <v/>
      </c>
      <c r="BT35" s="96"/>
      <c r="BU35" s="14"/>
      <c r="BV35" s="145"/>
      <c r="BW35" s="14"/>
      <c r="BX35" s="28" t="str">
        <f t="shared" si="51"/>
        <v/>
      </c>
      <c r="BZ35" s="90" t="str">
        <f t="shared" si="35"/>
        <v/>
      </c>
      <c r="CB35" s="96"/>
      <c r="CC35" s="14"/>
      <c r="CD35" s="145"/>
      <c r="CE35" s="14"/>
      <c r="CF35" s="28" t="str">
        <f t="shared" si="52"/>
        <v/>
      </c>
      <c r="CH35" s="90" t="str">
        <f t="shared" si="36"/>
        <v/>
      </c>
      <c r="CJ35" s="96"/>
      <c r="CK35" s="14"/>
      <c r="CL35" s="145"/>
      <c r="CM35" s="14"/>
      <c r="CN35" s="28" t="str">
        <f t="shared" si="53"/>
        <v/>
      </c>
      <c r="CP35" s="90" t="str">
        <f t="shared" si="37"/>
        <v/>
      </c>
      <c r="CR35" s="96"/>
      <c r="CS35" s="14"/>
      <c r="CT35" s="145"/>
      <c r="CU35" s="14"/>
      <c r="CV35" s="28" t="str">
        <f t="shared" si="54"/>
        <v/>
      </c>
      <c r="CX35" s="90"/>
    </row>
    <row r="36" spans="1:102" ht="15.6" x14ac:dyDescent="0.3">
      <c r="B36" s="47"/>
      <c r="C36" s="21" t="s">
        <v>119</v>
      </c>
      <c r="D36" s="70" t="e">
        <f t="shared" si="39"/>
        <v>#DIV/0!</v>
      </c>
      <c r="E36" s="130">
        <f t="shared" si="40"/>
        <v>0</v>
      </c>
      <c r="F36" s="73" t="str">
        <f t="shared" si="41"/>
        <v/>
      </c>
      <c r="H36" s="96"/>
      <c r="J36" s="145"/>
      <c r="L36" s="28" t="str">
        <f t="shared" si="43"/>
        <v/>
      </c>
      <c r="N36" s="90" t="str">
        <f t="shared" si="42"/>
        <v/>
      </c>
      <c r="P36" s="96"/>
      <c r="Q36" s="14"/>
      <c r="R36" s="145"/>
      <c r="S36" s="14"/>
      <c r="T36" s="28" t="str">
        <f t="shared" si="44"/>
        <v/>
      </c>
      <c r="V36" s="90" t="str">
        <f t="shared" si="28"/>
        <v/>
      </c>
      <c r="X36" s="96"/>
      <c r="Y36" s="14"/>
      <c r="Z36" s="145"/>
      <c r="AA36" s="14"/>
      <c r="AB36" s="28" t="str">
        <f t="shared" si="45"/>
        <v/>
      </c>
      <c r="AC36" s="14"/>
      <c r="AD36" s="90" t="str">
        <f t="shared" si="29"/>
        <v/>
      </c>
      <c r="AF36" s="96"/>
      <c r="AG36" s="14"/>
      <c r="AH36" s="145"/>
      <c r="AI36" s="14"/>
      <c r="AJ36" s="28" t="str">
        <f t="shared" si="46"/>
        <v/>
      </c>
      <c r="AL36" s="90" t="str">
        <f t="shared" si="30"/>
        <v/>
      </c>
      <c r="AN36" s="96"/>
      <c r="AO36" s="14"/>
      <c r="AP36" s="145"/>
      <c r="AQ36" s="14"/>
      <c r="AR36" s="28" t="str">
        <f t="shared" si="47"/>
        <v/>
      </c>
      <c r="AT36" s="90"/>
      <c r="AV36" s="96"/>
      <c r="AW36" s="14"/>
      <c r="AX36" s="145"/>
      <c r="AY36" s="14"/>
      <c r="AZ36" s="28" t="str">
        <f t="shared" si="48"/>
        <v/>
      </c>
      <c r="BB36" s="90"/>
      <c r="BD36" s="96"/>
      <c r="BE36" s="14"/>
      <c r="BF36" s="145"/>
      <c r="BG36" s="14"/>
      <c r="BH36" s="28" t="str">
        <f t="shared" si="49"/>
        <v/>
      </c>
      <c r="BJ36" s="90"/>
      <c r="BL36" s="96"/>
      <c r="BM36" s="14"/>
      <c r="BN36" s="145"/>
      <c r="BO36" s="14"/>
      <c r="BP36" s="28" t="str">
        <f t="shared" si="50"/>
        <v/>
      </c>
      <c r="BR36" s="90" t="str">
        <f t="shared" si="34"/>
        <v/>
      </c>
      <c r="BT36" s="96"/>
      <c r="BU36" s="14"/>
      <c r="BV36" s="145"/>
      <c r="BW36" s="14"/>
      <c r="BX36" s="28" t="str">
        <f t="shared" si="51"/>
        <v/>
      </c>
      <c r="BZ36" s="90" t="str">
        <f t="shared" si="35"/>
        <v/>
      </c>
      <c r="CB36" s="96"/>
      <c r="CC36" s="14"/>
      <c r="CD36" s="145"/>
      <c r="CE36" s="14"/>
      <c r="CF36" s="28" t="str">
        <f t="shared" si="52"/>
        <v/>
      </c>
      <c r="CH36" s="90" t="str">
        <f t="shared" si="36"/>
        <v/>
      </c>
      <c r="CJ36" s="96"/>
      <c r="CK36" s="14"/>
      <c r="CL36" s="145"/>
      <c r="CM36" s="14"/>
      <c r="CN36" s="28" t="str">
        <f t="shared" si="53"/>
        <v/>
      </c>
      <c r="CP36" s="90" t="str">
        <f t="shared" si="37"/>
        <v/>
      </c>
      <c r="CR36" s="96"/>
      <c r="CS36" s="14"/>
      <c r="CT36" s="145"/>
      <c r="CU36" s="14"/>
      <c r="CV36" s="28" t="str">
        <f t="shared" si="54"/>
        <v/>
      </c>
      <c r="CX36" s="90"/>
    </row>
    <row r="37" spans="1:102" ht="15.6" x14ac:dyDescent="0.3">
      <c r="B37" s="47"/>
      <c r="C37" s="21" t="s">
        <v>116</v>
      </c>
      <c r="D37" s="70" t="e">
        <f t="shared" si="39"/>
        <v>#DIV/0!</v>
      </c>
      <c r="E37" s="130">
        <f t="shared" si="40"/>
        <v>0</v>
      </c>
      <c r="F37" s="73" t="str">
        <f t="shared" si="41"/>
        <v/>
      </c>
      <c r="H37" s="27"/>
      <c r="J37" s="146"/>
      <c r="L37" s="28" t="str">
        <f t="shared" si="43"/>
        <v/>
      </c>
      <c r="N37" s="90" t="str">
        <f t="shared" si="42"/>
        <v/>
      </c>
      <c r="P37" s="27"/>
      <c r="Q37" s="14"/>
      <c r="R37" s="146"/>
      <c r="S37" s="14"/>
      <c r="T37" s="28" t="str">
        <f t="shared" si="44"/>
        <v/>
      </c>
      <c r="V37" s="90" t="str">
        <f t="shared" si="28"/>
        <v/>
      </c>
      <c r="X37" s="27"/>
      <c r="Y37" s="14"/>
      <c r="Z37" s="146"/>
      <c r="AA37" s="14"/>
      <c r="AB37" s="28" t="str">
        <f t="shared" si="45"/>
        <v/>
      </c>
      <c r="AC37" s="14"/>
      <c r="AD37" s="90" t="str">
        <f t="shared" si="29"/>
        <v/>
      </c>
      <c r="AF37" s="27"/>
      <c r="AG37" s="14"/>
      <c r="AH37" s="146"/>
      <c r="AI37" s="14"/>
      <c r="AJ37" s="28" t="str">
        <f t="shared" si="46"/>
        <v/>
      </c>
      <c r="AL37" s="90" t="str">
        <f t="shared" si="30"/>
        <v/>
      </c>
      <c r="AN37" s="27"/>
      <c r="AO37" s="14"/>
      <c r="AP37" s="146"/>
      <c r="AQ37" s="14"/>
      <c r="AR37" s="28" t="str">
        <f t="shared" si="47"/>
        <v/>
      </c>
      <c r="AT37" s="90" t="str">
        <f t="shared" si="31"/>
        <v/>
      </c>
      <c r="AV37" s="27"/>
      <c r="AW37" s="14"/>
      <c r="AX37" s="146"/>
      <c r="AY37" s="14"/>
      <c r="AZ37" s="28" t="str">
        <f t="shared" si="48"/>
        <v/>
      </c>
      <c r="BB37" s="90" t="str">
        <f t="shared" si="32"/>
        <v/>
      </c>
      <c r="BD37" s="27"/>
      <c r="BE37" s="14"/>
      <c r="BF37" s="146"/>
      <c r="BG37" s="14"/>
      <c r="BH37" s="28" t="str">
        <f t="shared" si="49"/>
        <v/>
      </c>
      <c r="BJ37" s="90" t="str">
        <f t="shared" si="33"/>
        <v/>
      </c>
      <c r="BL37" s="27"/>
      <c r="BM37" s="14"/>
      <c r="BN37" s="146"/>
      <c r="BO37" s="14"/>
      <c r="BP37" s="28" t="str">
        <f t="shared" si="50"/>
        <v/>
      </c>
      <c r="BR37" s="90" t="str">
        <f t="shared" si="34"/>
        <v/>
      </c>
      <c r="BT37" s="27"/>
      <c r="BU37" s="14"/>
      <c r="BV37" s="146"/>
      <c r="BW37" s="14"/>
      <c r="BX37" s="28" t="str">
        <f t="shared" si="51"/>
        <v/>
      </c>
      <c r="BZ37" s="90" t="str">
        <f t="shared" si="35"/>
        <v/>
      </c>
      <c r="CB37" s="27"/>
      <c r="CC37" s="14"/>
      <c r="CD37" s="146"/>
      <c r="CE37" s="14"/>
      <c r="CF37" s="28" t="str">
        <f t="shared" si="52"/>
        <v/>
      </c>
      <c r="CH37" s="90" t="str">
        <f t="shared" si="36"/>
        <v/>
      </c>
      <c r="CJ37" s="27"/>
      <c r="CK37" s="14"/>
      <c r="CL37" s="146"/>
      <c r="CM37" s="14"/>
      <c r="CN37" s="28" t="str">
        <f t="shared" si="53"/>
        <v/>
      </c>
      <c r="CP37" s="90" t="str">
        <f t="shared" si="37"/>
        <v/>
      </c>
      <c r="CR37" s="27"/>
      <c r="CS37" s="14"/>
      <c r="CT37" s="146"/>
      <c r="CU37" s="14"/>
      <c r="CV37" s="28" t="str">
        <f t="shared" si="54"/>
        <v/>
      </c>
      <c r="CX37" s="90" t="str">
        <f t="shared" si="38"/>
        <v/>
      </c>
    </row>
    <row r="38" spans="1:102" ht="15.6" x14ac:dyDescent="0.3">
      <c r="B38" s="47"/>
      <c r="C38" s="21" t="s">
        <v>95</v>
      </c>
      <c r="D38" s="70" t="e">
        <f t="shared" si="39"/>
        <v>#DIV/0!</v>
      </c>
      <c r="E38" s="130">
        <f t="shared" si="40"/>
        <v>0</v>
      </c>
      <c r="F38" s="73" t="str">
        <f t="shared" si="41"/>
        <v/>
      </c>
      <c r="H38" s="96"/>
      <c r="J38" s="145"/>
      <c r="L38" s="28" t="str">
        <f t="shared" si="43"/>
        <v/>
      </c>
      <c r="N38" s="90" t="str">
        <f t="shared" si="42"/>
        <v/>
      </c>
      <c r="P38" s="96"/>
      <c r="Q38" s="14"/>
      <c r="R38" s="145"/>
      <c r="S38" s="14"/>
      <c r="T38" s="28" t="str">
        <f t="shared" si="44"/>
        <v/>
      </c>
      <c r="V38" s="90" t="str">
        <f t="shared" si="28"/>
        <v/>
      </c>
      <c r="X38" s="96"/>
      <c r="Y38" s="14"/>
      <c r="Z38" s="145"/>
      <c r="AA38" s="14"/>
      <c r="AB38" s="28" t="str">
        <f t="shared" si="45"/>
        <v/>
      </c>
      <c r="AC38" s="14"/>
      <c r="AD38" s="90" t="str">
        <f t="shared" si="29"/>
        <v/>
      </c>
      <c r="AF38" s="96"/>
      <c r="AG38" s="14"/>
      <c r="AH38" s="145"/>
      <c r="AI38" s="14"/>
      <c r="AJ38" s="28" t="str">
        <f t="shared" si="46"/>
        <v/>
      </c>
      <c r="AL38" s="90" t="str">
        <f t="shared" si="30"/>
        <v/>
      </c>
      <c r="AN38" s="96"/>
      <c r="AO38" s="14"/>
      <c r="AP38" s="145"/>
      <c r="AQ38" s="14"/>
      <c r="AR38" s="28" t="str">
        <f t="shared" si="47"/>
        <v/>
      </c>
      <c r="AT38" s="90" t="str">
        <f t="shared" si="31"/>
        <v/>
      </c>
      <c r="AV38" s="96"/>
      <c r="AW38" s="14"/>
      <c r="AX38" s="145"/>
      <c r="AY38" s="14"/>
      <c r="AZ38" s="28" t="str">
        <f t="shared" si="48"/>
        <v/>
      </c>
      <c r="BB38" s="90" t="str">
        <f t="shared" si="32"/>
        <v/>
      </c>
      <c r="BD38" s="96"/>
      <c r="BE38" s="14"/>
      <c r="BF38" s="145"/>
      <c r="BG38" s="14"/>
      <c r="BH38" s="28" t="str">
        <f t="shared" si="49"/>
        <v/>
      </c>
      <c r="BJ38" s="90" t="str">
        <f t="shared" si="33"/>
        <v/>
      </c>
      <c r="BL38" s="96"/>
      <c r="BM38" s="14"/>
      <c r="BN38" s="145"/>
      <c r="BO38" s="14"/>
      <c r="BP38" s="28" t="str">
        <f t="shared" si="50"/>
        <v/>
      </c>
      <c r="BR38" s="90" t="str">
        <f t="shared" si="34"/>
        <v/>
      </c>
      <c r="BT38" s="96"/>
      <c r="BU38" s="14"/>
      <c r="BV38" s="145"/>
      <c r="BW38" s="14"/>
      <c r="BX38" s="28" t="str">
        <f t="shared" si="51"/>
        <v/>
      </c>
      <c r="BZ38" s="90" t="str">
        <f t="shared" si="35"/>
        <v/>
      </c>
      <c r="CB38" s="96"/>
      <c r="CC38" s="14"/>
      <c r="CD38" s="145"/>
      <c r="CE38" s="14"/>
      <c r="CF38" s="28" t="str">
        <f t="shared" si="52"/>
        <v/>
      </c>
      <c r="CH38" s="90" t="str">
        <f t="shared" si="36"/>
        <v/>
      </c>
      <c r="CJ38" s="96"/>
      <c r="CK38" s="14"/>
      <c r="CL38" s="145"/>
      <c r="CM38" s="14"/>
      <c r="CN38" s="28" t="str">
        <f t="shared" si="53"/>
        <v/>
      </c>
      <c r="CP38" s="90" t="str">
        <f t="shared" si="37"/>
        <v/>
      </c>
      <c r="CR38" s="96"/>
      <c r="CS38" s="14"/>
      <c r="CT38" s="145"/>
      <c r="CU38" s="14"/>
      <c r="CV38" s="28" t="str">
        <f t="shared" si="54"/>
        <v/>
      </c>
      <c r="CX38" s="90" t="str">
        <f t="shared" si="38"/>
        <v/>
      </c>
    </row>
    <row r="39" spans="1:102" ht="15.6" x14ac:dyDescent="0.3">
      <c r="B39" s="47"/>
      <c r="C39" s="21" t="s">
        <v>92</v>
      </c>
      <c r="D39" s="70" t="e">
        <f t="shared" si="39"/>
        <v>#DIV/0!</v>
      </c>
      <c r="E39" s="130">
        <f t="shared" si="40"/>
        <v>0</v>
      </c>
      <c r="F39" s="73" t="str">
        <f t="shared" si="41"/>
        <v/>
      </c>
      <c r="H39" s="96"/>
      <c r="J39" s="145"/>
      <c r="L39" s="28" t="str">
        <f t="shared" si="43"/>
        <v/>
      </c>
      <c r="N39" s="90" t="str">
        <f t="shared" si="42"/>
        <v/>
      </c>
      <c r="P39" s="96"/>
      <c r="Q39" s="14"/>
      <c r="R39" s="145"/>
      <c r="S39" s="14"/>
      <c r="T39" s="28" t="str">
        <f t="shared" si="44"/>
        <v/>
      </c>
      <c r="V39" s="90" t="str">
        <f t="shared" si="28"/>
        <v/>
      </c>
      <c r="X39" s="96"/>
      <c r="Y39" s="14"/>
      <c r="Z39" s="145"/>
      <c r="AA39" s="14"/>
      <c r="AB39" s="28" t="str">
        <f t="shared" si="45"/>
        <v/>
      </c>
      <c r="AC39" s="14"/>
      <c r="AD39" s="90" t="str">
        <f t="shared" si="29"/>
        <v/>
      </c>
      <c r="AF39" s="96"/>
      <c r="AG39" s="14"/>
      <c r="AH39" s="145"/>
      <c r="AI39" s="14"/>
      <c r="AJ39" s="28" t="str">
        <f t="shared" si="46"/>
        <v/>
      </c>
      <c r="AL39" s="90" t="str">
        <f t="shared" si="30"/>
        <v/>
      </c>
      <c r="AN39" s="96"/>
      <c r="AO39" s="14"/>
      <c r="AP39" s="145"/>
      <c r="AQ39" s="14"/>
      <c r="AR39" s="28" t="str">
        <f t="shared" si="47"/>
        <v/>
      </c>
      <c r="AT39" s="90" t="str">
        <f t="shared" si="31"/>
        <v/>
      </c>
      <c r="AV39" s="96"/>
      <c r="AW39" s="14"/>
      <c r="AX39" s="145"/>
      <c r="AY39" s="14"/>
      <c r="AZ39" s="28" t="str">
        <f t="shared" si="48"/>
        <v/>
      </c>
      <c r="BB39" s="90" t="str">
        <f t="shared" si="32"/>
        <v/>
      </c>
      <c r="BD39" s="96"/>
      <c r="BE39" s="14"/>
      <c r="BF39" s="145"/>
      <c r="BG39" s="14"/>
      <c r="BH39" s="28" t="str">
        <f t="shared" si="49"/>
        <v/>
      </c>
      <c r="BJ39" s="90" t="str">
        <f t="shared" si="33"/>
        <v/>
      </c>
      <c r="BL39" s="96"/>
      <c r="BM39" s="14"/>
      <c r="BN39" s="145"/>
      <c r="BO39" s="14"/>
      <c r="BP39" s="28" t="str">
        <f t="shared" si="50"/>
        <v/>
      </c>
      <c r="BR39" s="90" t="str">
        <f t="shared" si="34"/>
        <v/>
      </c>
      <c r="BT39" s="96"/>
      <c r="BU39" s="14"/>
      <c r="BV39" s="145"/>
      <c r="BW39" s="14"/>
      <c r="BX39" s="28" t="str">
        <f t="shared" si="51"/>
        <v/>
      </c>
      <c r="BZ39" s="90" t="str">
        <f t="shared" si="35"/>
        <v/>
      </c>
      <c r="CB39" s="96"/>
      <c r="CC39" s="14"/>
      <c r="CD39" s="145"/>
      <c r="CE39" s="14"/>
      <c r="CF39" s="28" t="str">
        <f t="shared" si="52"/>
        <v/>
      </c>
      <c r="CH39" s="90" t="str">
        <f t="shared" si="36"/>
        <v/>
      </c>
      <c r="CJ39" s="96"/>
      <c r="CK39" s="14"/>
      <c r="CL39" s="145"/>
      <c r="CM39" s="14"/>
      <c r="CN39" s="28" t="str">
        <f t="shared" si="53"/>
        <v/>
      </c>
      <c r="CP39" s="90" t="str">
        <f t="shared" si="37"/>
        <v/>
      </c>
      <c r="CR39" s="96"/>
      <c r="CS39" s="14"/>
      <c r="CT39" s="145"/>
      <c r="CU39" s="14"/>
      <c r="CV39" s="28" t="str">
        <f t="shared" si="54"/>
        <v/>
      </c>
      <c r="CX39" s="90" t="str">
        <f t="shared" si="38"/>
        <v/>
      </c>
    </row>
    <row r="40" spans="1:102" ht="15.6" x14ac:dyDescent="0.3">
      <c r="B40" s="47"/>
      <c r="C40" s="22" t="s">
        <v>124</v>
      </c>
      <c r="D40" s="70" t="e">
        <f t="shared" si="39"/>
        <v>#DIV/0!</v>
      </c>
      <c r="E40" s="130">
        <f t="shared" si="40"/>
        <v>0</v>
      </c>
      <c r="F40" s="73" t="str">
        <f t="shared" si="41"/>
        <v/>
      </c>
      <c r="H40" s="27"/>
      <c r="J40" s="146"/>
      <c r="L40" s="28" t="str">
        <f>IF(J40&lt;&gt;"",J40/J$7,"")</f>
        <v/>
      </c>
      <c r="N40" s="90" t="str">
        <f t="shared" si="42"/>
        <v/>
      </c>
      <c r="P40" s="27"/>
      <c r="Q40" s="14"/>
      <c r="R40" s="146"/>
      <c r="S40" s="14"/>
      <c r="T40" s="28" t="str">
        <f>IF(R40&lt;&gt;"",R40/R$7,"")</f>
        <v/>
      </c>
      <c r="V40" s="90" t="str">
        <f t="shared" si="28"/>
        <v/>
      </c>
      <c r="X40" s="27"/>
      <c r="Y40" s="14"/>
      <c r="Z40" s="146"/>
      <c r="AA40" s="14"/>
      <c r="AB40" s="28" t="str">
        <f>IF(Z40&lt;&gt;"",Z40/Z$7,"")</f>
        <v/>
      </c>
      <c r="AC40" s="14"/>
      <c r="AD40" s="90" t="str">
        <f t="shared" si="29"/>
        <v/>
      </c>
      <c r="AF40" s="27"/>
      <c r="AG40" s="14"/>
      <c r="AH40" s="146"/>
      <c r="AI40" s="14"/>
      <c r="AJ40" s="28" t="str">
        <f>IF(AH40&lt;&gt;"",AH40/AH$7,"")</f>
        <v/>
      </c>
      <c r="AL40" s="90" t="str">
        <f t="shared" si="30"/>
        <v/>
      </c>
      <c r="AN40" s="27"/>
      <c r="AO40" s="14"/>
      <c r="AP40" s="146"/>
      <c r="AQ40" s="14"/>
      <c r="AR40" s="28" t="str">
        <f>IF(AP40&lt;&gt;"",AP40/AP$7,"")</f>
        <v/>
      </c>
      <c r="AT40" s="90" t="str">
        <f t="shared" si="31"/>
        <v/>
      </c>
      <c r="AV40" s="27"/>
      <c r="AW40" s="14"/>
      <c r="AX40" s="146"/>
      <c r="AY40" s="14"/>
      <c r="AZ40" s="28" t="str">
        <f>IF(AX40&lt;&gt;"",AX40/AX$7,"")</f>
        <v/>
      </c>
      <c r="BB40" s="90" t="str">
        <f t="shared" si="32"/>
        <v/>
      </c>
      <c r="BD40" s="27"/>
      <c r="BE40" s="14"/>
      <c r="BF40" s="146"/>
      <c r="BG40" s="14"/>
      <c r="BH40" s="28" t="str">
        <f>IF(BF40&lt;&gt;"",BF40/BF$7,"")</f>
        <v/>
      </c>
      <c r="BJ40" s="90" t="str">
        <f t="shared" si="33"/>
        <v/>
      </c>
      <c r="BL40" s="27"/>
      <c r="BM40" s="14"/>
      <c r="BN40" s="146"/>
      <c r="BO40" s="14"/>
      <c r="BP40" s="28" t="str">
        <f>IF(BN40&lt;&gt;"",BN40/BN$7,"")</f>
        <v/>
      </c>
      <c r="BR40" s="90" t="str">
        <f t="shared" si="34"/>
        <v/>
      </c>
      <c r="BT40" s="27"/>
      <c r="BU40" s="14"/>
      <c r="BV40" s="146"/>
      <c r="BW40" s="14"/>
      <c r="BX40" s="28" t="str">
        <f>IF(BV40&lt;&gt;"",BV40/BV$7,"")</f>
        <v/>
      </c>
      <c r="BZ40" s="90" t="str">
        <f t="shared" si="35"/>
        <v/>
      </c>
      <c r="CB40" s="27"/>
      <c r="CC40" s="14"/>
      <c r="CD40" s="146"/>
      <c r="CE40" s="14"/>
      <c r="CF40" s="28" t="str">
        <f>IF(CD40&lt;&gt;"",CD40/CD$7,"")</f>
        <v/>
      </c>
      <c r="CH40" s="90" t="str">
        <f t="shared" si="36"/>
        <v/>
      </c>
      <c r="CJ40" s="27"/>
      <c r="CK40" s="14"/>
      <c r="CL40" s="146"/>
      <c r="CM40" s="14"/>
      <c r="CN40" s="28" t="str">
        <f>IF(CL40&lt;&gt;"",CL40/CL$7,"")</f>
        <v/>
      </c>
      <c r="CP40" s="90" t="str">
        <f t="shared" si="37"/>
        <v/>
      </c>
      <c r="CR40" s="27"/>
      <c r="CS40" s="14"/>
      <c r="CT40" s="146"/>
      <c r="CU40" s="14"/>
      <c r="CV40" s="28" t="str">
        <f>IF(CT40&lt;&gt;"",CT40/CT$7,"")</f>
        <v/>
      </c>
      <c r="CX40" s="90" t="str">
        <f t="shared" si="38"/>
        <v/>
      </c>
    </row>
    <row r="41" spans="1:102" ht="16.2" thickBot="1" x14ac:dyDescent="0.35">
      <c r="B41" s="48"/>
      <c r="C41" s="62" t="s">
        <v>129</v>
      </c>
      <c r="D41" s="71" t="e">
        <f t="shared" si="39"/>
        <v>#DIV/0!</v>
      </c>
      <c r="E41" s="133">
        <f t="shared" si="40"/>
        <v>0</v>
      </c>
      <c r="F41" s="74" t="str">
        <f t="shared" si="41"/>
        <v/>
      </c>
      <c r="H41" s="69"/>
      <c r="J41" s="143"/>
      <c r="L41" s="65" t="str">
        <f t="shared" si="43"/>
        <v/>
      </c>
      <c r="N41" s="90" t="str">
        <f t="shared" si="42"/>
        <v/>
      </c>
      <c r="P41" s="69"/>
      <c r="Q41" s="14"/>
      <c r="R41" s="143"/>
      <c r="S41" s="14"/>
      <c r="T41" s="65" t="str">
        <f t="shared" si="44"/>
        <v/>
      </c>
      <c r="V41" s="90" t="str">
        <f t="shared" si="28"/>
        <v/>
      </c>
      <c r="X41" s="69"/>
      <c r="Y41" s="14"/>
      <c r="Z41" s="143"/>
      <c r="AA41" s="14"/>
      <c r="AB41" s="65" t="str">
        <f t="shared" si="45"/>
        <v/>
      </c>
      <c r="AC41" s="14"/>
      <c r="AD41" s="90" t="str">
        <f t="shared" si="29"/>
        <v/>
      </c>
      <c r="AF41" s="69"/>
      <c r="AG41" s="14"/>
      <c r="AH41" s="143"/>
      <c r="AI41" s="14"/>
      <c r="AJ41" s="65" t="str">
        <f t="shared" si="46"/>
        <v/>
      </c>
      <c r="AL41" s="90" t="str">
        <f t="shared" si="30"/>
        <v/>
      </c>
      <c r="AN41" s="69"/>
      <c r="AO41" s="14"/>
      <c r="AP41" s="143"/>
      <c r="AQ41" s="14"/>
      <c r="AR41" s="65" t="str">
        <f t="shared" si="47"/>
        <v/>
      </c>
      <c r="AT41" s="90" t="str">
        <f t="shared" si="31"/>
        <v/>
      </c>
      <c r="AV41" s="69"/>
      <c r="AW41" s="14"/>
      <c r="AX41" s="143"/>
      <c r="AY41" s="14"/>
      <c r="AZ41" s="65" t="str">
        <f t="shared" si="48"/>
        <v/>
      </c>
      <c r="BB41" s="90" t="str">
        <f t="shared" si="32"/>
        <v/>
      </c>
      <c r="BD41" s="69"/>
      <c r="BE41" s="14"/>
      <c r="BF41" s="143"/>
      <c r="BG41" s="14"/>
      <c r="BH41" s="65" t="str">
        <f t="shared" si="49"/>
        <v/>
      </c>
      <c r="BJ41" s="90" t="str">
        <f t="shared" si="33"/>
        <v/>
      </c>
      <c r="BL41" s="69"/>
      <c r="BM41" s="14"/>
      <c r="BN41" s="143"/>
      <c r="BO41" s="14"/>
      <c r="BP41" s="65" t="str">
        <f t="shared" si="50"/>
        <v/>
      </c>
      <c r="BR41" s="90" t="str">
        <f t="shared" si="34"/>
        <v/>
      </c>
      <c r="BT41" s="69"/>
      <c r="BU41" s="14"/>
      <c r="BV41" s="143"/>
      <c r="BW41" s="14"/>
      <c r="BX41" s="65" t="str">
        <f t="shared" si="51"/>
        <v/>
      </c>
      <c r="BZ41" s="90" t="str">
        <f t="shared" si="35"/>
        <v/>
      </c>
      <c r="CB41" s="69"/>
      <c r="CC41" s="14"/>
      <c r="CD41" s="143"/>
      <c r="CE41" s="14"/>
      <c r="CF41" s="65" t="str">
        <f t="shared" si="52"/>
        <v/>
      </c>
      <c r="CH41" s="90" t="str">
        <f t="shared" si="36"/>
        <v/>
      </c>
      <c r="CJ41" s="69"/>
      <c r="CK41" s="14"/>
      <c r="CL41" s="143"/>
      <c r="CM41" s="14"/>
      <c r="CN41" s="65" t="str">
        <f t="shared" si="53"/>
        <v/>
      </c>
      <c r="CP41" s="90" t="str">
        <f t="shared" si="37"/>
        <v/>
      </c>
      <c r="CR41" s="69"/>
      <c r="CS41" s="14"/>
      <c r="CT41" s="143"/>
      <c r="CU41" s="14"/>
      <c r="CV41" s="65" t="str">
        <f t="shared" si="54"/>
        <v/>
      </c>
      <c r="CX41" s="90" t="str">
        <f t="shared" si="38"/>
        <v/>
      </c>
    </row>
    <row r="42" spans="1:102" ht="10.5" customHeight="1" thickBot="1" x14ac:dyDescent="0.35">
      <c r="A42" s="34"/>
      <c r="J42" s="41"/>
      <c r="P42" s="41"/>
      <c r="Q42" s="14"/>
      <c r="R42" s="41"/>
      <c r="S42" s="14"/>
      <c r="T42" s="14"/>
      <c r="X42" s="41"/>
      <c r="Y42" s="14"/>
      <c r="Z42" s="41"/>
      <c r="AA42" s="14"/>
      <c r="AB42" s="14"/>
      <c r="AC42" s="14"/>
      <c r="AF42" s="41"/>
      <c r="AG42" s="14"/>
      <c r="AH42" s="41"/>
      <c r="AI42" s="14"/>
      <c r="AJ42" s="14"/>
      <c r="AO42" s="14"/>
      <c r="AQ42" s="14"/>
      <c r="AR42" s="14"/>
      <c r="AV42" s="41"/>
      <c r="AW42" s="14"/>
      <c r="AX42" s="41"/>
      <c r="AY42" s="14"/>
      <c r="AZ42" s="14"/>
      <c r="BD42" s="41"/>
      <c r="BE42" s="14"/>
      <c r="BF42" s="41"/>
      <c r="BG42" s="14"/>
      <c r="BH42" s="14"/>
      <c r="BM42" s="14"/>
      <c r="BO42" s="14"/>
      <c r="BP42" s="14"/>
      <c r="BU42" s="14"/>
      <c r="BW42" s="14"/>
      <c r="BX42" s="14"/>
      <c r="CB42" s="41"/>
      <c r="CC42" s="14"/>
      <c r="CD42" s="41"/>
      <c r="CE42" s="14"/>
      <c r="CF42" s="14"/>
      <c r="CK42" s="14"/>
      <c r="CM42" s="14"/>
      <c r="CN42" s="14"/>
      <c r="CR42" s="41"/>
      <c r="CS42" s="14"/>
      <c r="CT42" s="41"/>
      <c r="CU42" s="14"/>
      <c r="CV42" s="14"/>
    </row>
    <row r="43" spans="1:102" ht="16.2" thickBot="1" x14ac:dyDescent="0.35">
      <c r="B43" s="208" t="s">
        <v>96</v>
      </c>
      <c r="C43" s="209"/>
      <c r="D43" s="29" t="e">
        <f t="shared" ref="D43:F43" si="55">IF(SUM(D44:D48)&lt;&gt;"",SUM(D44:D48),"")</f>
        <v>#DIV/0!</v>
      </c>
      <c r="E43" s="127">
        <f t="shared" si="55"/>
        <v>0</v>
      </c>
      <c r="F43" s="76">
        <f t="shared" si="55"/>
        <v>0</v>
      </c>
      <c r="H43" s="29">
        <f>IF(SUM(H44:H48)&lt;&gt;"",SUM(H44:H48),"")</f>
        <v>0</v>
      </c>
      <c r="J43" s="29">
        <f>IF(SUM(J44:J48)&lt;&gt;"",SUM(J44:J48),"")</f>
        <v>0</v>
      </c>
      <c r="L43" s="94" t="str">
        <f>IF(SUM(L44:L47)&lt;&gt;0,SUM(L44:L47),"")</f>
        <v/>
      </c>
      <c r="N43" s="30" t="e">
        <f>IF(J43&lt;&gt;"",(J43/$D43)-1,"")</f>
        <v>#DIV/0!</v>
      </c>
      <c r="P43" s="29">
        <f>IF(SUM(P44:P48)&lt;&gt;"",SUM(P44:P48),"")</f>
        <v>0</v>
      </c>
      <c r="Q43" s="14"/>
      <c r="R43" s="29">
        <f>IF(SUM(R44:R48)&lt;&gt;"",SUM(R44:R48),"")</f>
        <v>0</v>
      </c>
      <c r="S43" s="14"/>
      <c r="T43" s="94" t="str">
        <f>IF(SUM(T44:T47)&lt;&gt;0,SUM(T44:T47),"")</f>
        <v/>
      </c>
      <c r="V43" s="94" t="str">
        <f t="shared" ref="V43:V45" si="56">IF(R43&lt;&gt;0,(R43/P43)-1,"")</f>
        <v/>
      </c>
      <c r="X43" s="29">
        <f>IF(SUM(X44:X48)&lt;&gt;"",SUM(X44:X48),"")</f>
        <v>0</v>
      </c>
      <c r="Y43" s="14"/>
      <c r="Z43" s="29">
        <f>IF(SUM(Z44:Z48)&lt;&gt;"",SUM(Z44:Z48),"")</f>
        <v>0</v>
      </c>
      <c r="AA43" s="14"/>
      <c r="AB43" s="94" t="str">
        <f>IF(SUM(AB44:AB47)&lt;&gt;0,SUM(AB44:AB47),"")</f>
        <v/>
      </c>
      <c r="AC43" s="14"/>
      <c r="AD43" s="94" t="str">
        <f t="shared" ref="AD43:AD45" si="57">IF(Z43&lt;&gt;0,(Z43/X43)-1,"")</f>
        <v/>
      </c>
      <c r="AF43" s="29">
        <f>IF(SUM(AF44:AF48)&lt;&gt;"",SUM(AF44:AF48),"")</f>
        <v>0</v>
      </c>
      <c r="AG43" s="14"/>
      <c r="AH43" s="29">
        <f>IF(SUM(AH44:AH48)&lt;&gt;"",SUM(AH44:AH48),"")</f>
        <v>0</v>
      </c>
      <c r="AI43" s="14"/>
      <c r="AJ43" s="94" t="str">
        <f>IF(SUM(AJ44:AJ47)&lt;&gt;0,SUM(AJ44:AJ47),"")</f>
        <v/>
      </c>
      <c r="AL43" s="94" t="str">
        <f t="shared" ref="AL43:AL45" si="58">IF(AH43&lt;&gt;0,(AH43/AF43)-1,"")</f>
        <v/>
      </c>
      <c r="AN43" s="29">
        <f>IF(SUM(AN44:AN48)&lt;&gt;"",SUM(AN44:AN48),"")</f>
        <v>0</v>
      </c>
      <c r="AO43" s="14"/>
      <c r="AP43" s="29">
        <f>IF(SUM(AP44:AP48)&lt;&gt;"",SUM(AP44:AP48),"")</f>
        <v>0</v>
      </c>
      <c r="AQ43" s="14"/>
      <c r="AR43" s="94" t="str">
        <f>IF(SUM(AR44:AR47)&lt;&gt;0,SUM(AR44:AR47),"")</f>
        <v/>
      </c>
      <c r="AT43" s="94" t="str">
        <f t="shared" ref="AT43:AT45" si="59">IF(AP43&lt;&gt;0,(AP43/AN43)-1,"")</f>
        <v/>
      </c>
      <c r="AV43" s="29">
        <f>IF(SUM(AV44:AV48)&lt;&gt;"",SUM(AV44:AV48),"")</f>
        <v>0</v>
      </c>
      <c r="AW43" s="14"/>
      <c r="AX43" s="29">
        <f>IF(SUM(AX44:AX48)&lt;&gt;"",SUM(AX44:AX48),"")</f>
        <v>0</v>
      </c>
      <c r="AY43" s="14"/>
      <c r="AZ43" s="94" t="str">
        <f>IF(SUM(AZ44:AZ47)&lt;&gt;0,SUM(AZ44:AZ47),"")</f>
        <v/>
      </c>
      <c r="BB43" s="94" t="str">
        <f t="shared" ref="BB43:BB45" si="60">IF(AX43&lt;&gt;0,(AX43/AV43)-1,"")</f>
        <v/>
      </c>
      <c r="BD43" s="29">
        <f>IF(SUM(BD44:BD48)&lt;&gt;"",SUM(BD44:BD48),"")</f>
        <v>0</v>
      </c>
      <c r="BE43" s="14"/>
      <c r="BF43" s="29">
        <f>IF(SUM(BF44:BF48)&lt;&gt;"",SUM(BF44:BF48),"")</f>
        <v>0</v>
      </c>
      <c r="BG43" s="14"/>
      <c r="BH43" s="94" t="str">
        <f>IF(SUM(BH44:BH47)&lt;&gt;0,SUM(BH44:BH47),"")</f>
        <v/>
      </c>
      <c r="BJ43" s="94" t="str">
        <f t="shared" ref="BJ43:BJ45" si="61">IF(BF43&lt;&gt;0,(BF43/BD43)-1,"")</f>
        <v/>
      </c>
      <c r="BL43" s="29">
        <f>IF(SUM(BL44:BL48)&lt;&gt;"",SUM(BL44:BL48),"")</f>
        <v>0</v>
      </c>
      <c r="BM43" s="14"/>
      <c r="BN43" s="29">
        <f>IF(SUM(BN44:BN48)&lt;&gt;"",SUM(BN44:BN48),"")</f>
        <v>0</v>
      </c>
      <c r="BO43" s="14"/>
      <c r="BP43" s="94" t="str">
        <f>IF(SUM(BP44:BP47)&lt;&gt;0,SUM(BP44:BP47),"")</f>
        <v/>
      </c>
      <c r="BR43" s="94" t="str">
        <f t="shared" ref="BR43:BR45" si="62">IF(BN43&lt;&gt;0,(BN43/BL43)-1,"")</f>
        <v/>
      </c>
      <c r="BT43" s="29">
        <f>IF(SUM(BT44:BT48)&lt;&gt;"",SUM(BT44:BT48),"")</f>
        <v>0</v>
      </c>
      <c r="BU43" s="14"/>
      <c r="BV43" s="29">
        <f>IF(SUM(BV44:BV48)&lt;&gt;"",SUM(BV44:BV48),"")</f>
        <v>0</v>
      </c>
      <c r="BW43" s="14"/>
      <c r="BX43" s="94" t="str">
        <f>IF(SUM(BX44:BX47)&lt;&gt;0,SUM(BX44:BX47),"")</f>
        <v/>
      </c>
      <c r="BZ43" s="94" t="str">
        <f t="shared" ref="BZ43:BZ45" si="63">IF(BV43&lt;&gt;0,(BV43/BT43)-1,"")</f>
        <v/>
      </c>
      <c r="CB43" s="29">
        <f>IF(SUM(CB44:CB48)&lt;&gt;"",SUM(CB44:CB48),"")</f>
        <v>0</v>
      </c>
      <c r="CC43" s="14"/>
      <c r="CD43" s="29">
        <f>IF(SUM(CD44:CD48)&lt;&gt;"",SUM(CD44:CD48),"")</f>
        <v>0</v>
      </c>
      <c r="CE43" s="14"/>
      <c r="CF43" s="94" t="str">
        <f>IF(SUM(CF44:CF47)&lt;&gt;0,SUM(CF44:CF47),"")</f>
        <v/>
      </c>
      <c r="CH43" s="94" t="str">
        <f t="shared" ref="CH43:CH45" si="64">IF(CD43&lt;&gt;0,(CD43/CB43)-1,"")</f>
        <v/>
      </c>
      <c r="CJ43" s="29">
        <f>IF(SUM(CJ44:CJ48)&lt;&gt;"",SUM(CJ44:CJ48),"")</f>
        <v>0</v>
      </c>
      <c r="CK43" s="14"/>
      <c r="CL43" s="29">
        <f>IF(SUM(CL44:CL48)&lt;&gt;"",SUM(CL44:CL48),"")</f>
        <v>0</v>
      </c>
      <c r="CM43" s="14"/>
      <c r="CN43" s="94" t="str">
        <f>IF(SUM(CN44:CN47)&lt;&gt;0,SUM(CN44:CN47),"")</f>
        <v/>
      </c>
      <c r="CP43" s="94" t="str">
        <f t="shared" ref="CP43:CP45" si="65">IF(CL43&lt;&gt;0,(CL43/CJ43)-1,"")</f>
        <v/>
      </c>
      <c r="CR43" s="29">
        <f>IF(SUM(CR44:CR48)&lt;&gt;"",SUM(CR44:CR48),"")</f>
        <v>0</v>
      </c>
      <c r="CS43" s="14"/>
      <c r="CT43" s="29">
        <f>IF(SUM(CT44:CT48)&lt;&gt;"",SUM(CT44:CT48),"")</f>
        <v>0</v>
      </c>
      <c r="CU43" s="14"/>
      <c r="CV43" s="94" t="str">
        <f>IF(SUM(CV44:CV47)&lt;&gt;0,SUM(CV44:CV47),"")</f>
        <v/>
      </c>
      <c r="CX43" s="94" t="str">
        <f t="shared" ref="CX43:CX45" si="66">IF(CT43&lt;&gt;0,(CT43/CR43)-1,"")</f>
        <v/>
      </c>
    </row>
    <row r="44" spans="1:102" ht="15.6" x14ac:dyDescent="0.3">
      <c r="B44" s="98"/>
      <c r="C44" s="21" t="s">
        <v>106</v>
      </c>
      <c r="D44" s="78" t="e">
        <f t="shared" ref="D44:D47" si="67">IF(AVERAGE(J44,R44,Z44,AH44,AP44,AX44,BF44,BN44,BV44,CD44,CL44,CT44)&lt;&gt;"",AVERAGE(J44,R44,Z44,AH44,AP44,AX44,BF44,BN44,BV44,CD44,CL44,CT44),"")</f>
        <v>#DIV/0!</v>
      </c>
      <c r="E44" s="130">
        <f t="shared" ref="E44:E47" si="68">IF(SUM(J44,R44,Z44,AH44,AP44,AX44,BF44,BN44,BV44,CD44,CL44,CT44)&lt;&gt;"",SUM(J44,R44,Z44,AH44,AP44,AX44,BF44,BN44,BV44,CD44,CL44,CT44),"")</f>
        <v>0</v>
      </c>
      <c r="F44" s="73" t="str">
        <f t="shared" ref="F44:F47" si="69">IF(E44&lt;&gt;0,E44/E$7,"")</f>
        <v/>
      </c>
      <c r="H44" s="35"/>
      <c r="J44" s="147"/>
      <c r="L44" s="28" t="str">
        <f>IF(J44&lt;&gt;"",J44/J$7,"")</f>
        <v/>
      </c>
      <c r="N44" s="90" t="str">
        <f t="shared" ref="N44:N48" si="70">IF(J44&lt;&gt;0,(J44/D44)-1,"")</f>
        <v/>
      </c>
      <c r="P44" s="35"/>
      <c r="Q44" s="14"/>
      <c r="R44" s="147"/>
      <c r="S44" s="14"/>
      <c r="T44" s="28" t="str">
        <f>IF(R44&lt;&gt;"",R44/R$7,"")</f>
        <v/>
      </c>
      <c r="V44" s="90" t="str">
        <f t="shared" si="56"/>
        <v/>
      </c>
      <c r="X44" s="35"/>
      <c r="Y44" s="14"/>
      <c r="Z44" s="147"/>
      <c r="AA44" s="14"/>
      <c r="AB44" s="28" t="str">
        <f>IF(Z44&lt;&gt;"",Z44/Z$7,"")</f>
        <v/>
      </c>
      <c r="AC44" s="14"/>
      <c r="AD44" s="90" t="str">
        <f t="shared" si="57"/>
        <v/>
      </c>
      <c r="AF44" s="35"/>
      <c r="AG44" s="14"/>
      <c r="AH44" s="147"/>
      <c r="AI44" s="14"/>
      <c r="AJ44" s="28" t="str">
        <f>IF(AH44&lt;&gt;"",AH44/AH$7,"")</f>
        <v/>
      </c>
      <c r="AL44" s="90" t="str">
        <f t="shared" si="58"/>
        <v/>
      </c>
      <c r="AN44" s="35"/>
      <c r="AO44" s="14"/>
      <c r="AP44" s="147"/>
      <c r="AQ44" s="14"/>
      <c r="AR44" s="28" t="str">
        <f>IF(AP44&lt;&gt;"",AP44/AP$7,"")</f>
        <v/>
      </c>
      <c r="AT44" s="90" t="str">
        <f t="shared" si="59"/>
        <v/>
      </c>
      <c r="AV44" s="35"/>
      <c r="AW44" s="14"/>
      <c r="AX44" s="147"/>
      <c r="AY44" s="14"/>
      <c r="AZ44" s="28" t="str">
        <f>IF(AX44&lt;&gt;"",AX44/AX$7,"")</f>
        <v/>
      </c>
      <c r="BB44" s="90" t="str">
        <f t="shared" si="60"/>
        <v/>
      </c>
      <c r="BD44" s="35"/>
      <c r="BE44" s="14"/>
      <c r="BF44" s="147"/>
      <c r="BG44" s="14"/>
      <c r="BH44" s="28" t="str">
        <f>IF(BF44&lt;&gt;"",BF44/BF$7,"")</f>
        <v/>
      </c>
      <c r="BJ44" s="90" t="str">
        <f t="shared" si="61"/>
        <v/>
      </c>
      <c r="BL44" s="35"/>
      <c r="BM44" s="14"/>
      <c r="BN44" s="147"/>
      <c r="BO44" s="14"/>
      <c r="BP44" s="28" t="str">
        <f>IF(BN44&lt;&gt;"",BN44/BN$7,"")</f>
        <v/>
      </c>
      <c r="BR44" s="90" t="str">
        <f t="shared" si="62"/>
        <v/>
      </c>
      <c r="BT44" s="35"/>
      <c r="BU44" s="14"/>
      <c r="BV44" s="147"/>
      <c r="BW44" s="14"/>
      <c r="BX44" s="28" t="str">
        <f>IF(BV44&lt;&gt;"",BV44/BV$7,"")</f>
        <v/>
      </c>
      <c r="BZ44" s="90" t="str">
        <f t="shared" si="63"/>
        <v/>
      </c>
      <c r="CB44" s="35"/>
      <c r="CC44" s="14"/>
      <c r="CD44" s="147"/>
      <c r="CE44" s="14"/>
      <c r="CF44" s="28" t="str">
        <f>IF(CD44&lt;&gt;"",CD44/CD$7,"")</f>
        <v/>
      </c>
      <c r="CH44" s="90" t="str">
        <f t="shared" si="64"/>
        <v/>
      </c>
      <c r="CJ44" s="35"/>
      <c r="CK44" s="14"/>
      <c r="CL44" s="147"/>
      <c r="CM44" s="14"/>
      <c r="CN44" s="28" t="str">
        <f>IF(CL44&lt;&gt;"",CL44/CL$7,"")</f>
        <v/>
      </c>
      <c r="CP44" s="90" t="str">
        <f t="shared" si="65"/>
        <v/>
      </c>
      <c r="CR44" s="35"/>
      <c r="CS44" s="14"/>
      <c r="CT44" s="147"/>
      <c r="CU44" s="14"/>
      <c r="CV44" s="28" t="str">
        <f>IF(CT44&lt;&gt;"",CT44/CT$7,"")</f>
        <v/>
      </c>
      <c r="CX44" s="90" t="str">
        <f t="shared" si="66"/>
        <v/>
      </c>
    </row>
    <row r="45" spans="1:102" ht="15.6" x14ac:dyDescent="0.3">
      <c r="B45" s="51"/>
      <c r="C45" s="21" t="s">
        <v>48</v>
      </c>
      <c r="D45" s="70" t="e">
        <f t="shared" si="67"/>
        <v>#DIV/0!</v>
      </c>
      <c r="E45" s="130">
        <f t="shared" si="68"/>
        <v>0</v>
      </c>
      <c r="F45" s="73" t="str">
        <f t="shared" si="69"/>
        <v/>
      </c>
      <c r="H45" s="99"/>
      <c r="J45" s="148"/>
      <c r="L45" s="28" t="str">
        <f>IF(J45&lt;&gt;"",J45/J$7,"")</f>
        <v/>
      </c>
      <c r="N45" s="90" t="str">
        <f t="shared" si="70"/>
        <v/>
      </c>
      <c r="P45" s="99"/>
      <c r="Q45" s="14"/>
      <c r="R45" s="148"/>
      <c r="S45" s="14"/>
      <c r="T45" s="28" t="str">
        <f>IF(R45&lt;&gt;"",R45/R$7,"")</f>
        <v/>
      </c>
      <c r="V45" s="90" t="str">
        <f t="shared" si="56"/>
        <v/>
      </c>
      <c r="X45" s="99"/>
      <c r="Y45" s="14"/>
      <c r="Z45" s="148"/>
      <c r="AA45" s="14"/>
      <c r="AB45" s="28" t="str">
        <f>IF(Z45&lt;&gt;"",Z45/Z$7,"")</f>
        <v/>
      </c>
      <c r="AC45" s="14"/>
      <c r="AD45" s="90" t="str">
        <f t="shared" si="57"/>
        <v/>
      </c>
      <c r="AF45" s="99"/>
      <c r="AG45" s="14"/>
      <c r="AH45" s="148"/>
      <c r="AI45" s="14"/>
      <c r="AJ45" s="28" t="str">
        <f>IF(AH45&lt;&gt;"",AH45/AH$7,"")</f>
        <v/>
      </c>
      <c r="AL45" s="90" t="str">
        <f t="shared" si="58"/>
        <v/>
      </c>
      <c r="AN45" s="99"/>
      <c r="AO45" s="14"/>
      <c r="AP45" s="148"/>
      <c r="AQ45" s="14"/>
      <c r="AR45" s="28" t="str">
        <f>IF(AP45&lt;&gt;"",AP45/AP$7,"")</f>
        <v/>
      </c>
      <c r="AT45" s="90" t="str">
        <f t="shared" si="59"/>
        <v/>
      </c>
      <c r="AV45" s="99"/>
      <c r="AW45" s="14"/>
      <c r="AX45" s="148"/>
      <c r="AY45" s="14"/>
      <c r="AZ45" s="28" t="str">
        <f>IF(AX45&lt;&gt;"",AX45/AX$7,"")</f>
        <v/>
      </c>
      <c r="BB45" s="90" t="str">
        <f t="shared" si="60"/>
        <v/>
      </c>
      <c r="BD45" s="99"/>
      <c r="BE45" s="14"/>
      <c r="BF45" s="148"/>
      <c r="BG45" s="14"/>
      <c r="BH45" s="28" t="str">
        <f>IF(BF45&lt;&gt;"",BF45/BF$7,"")</f>
        <v/>
      </c>
      <c r="BJ45" s="90" t="str">
        <f t="shared" si="61"/>
        <v/>
      </c>
      <c r="BL45" s="99"/>
      <c r="BM45" s="14"/>
      <c r="BN45" s="148"/>
      <c r="BO45" s="14"/>
      <c r="BP45" s="28" t="str">
        <f>IF(BN45&lt;&gt;"",BN45/BN$7,"")</f>
        <v/>
      </c>
      <c r="BR45" s="90" t="str">
        <f t="shared" si="62"/>
        <v/>
      </c>
      <c r="BT45" s="99"/>
      <c r="BU45" s="14"/>
      <c r="BV45" s="148"/>
      <c r="BW45" s="14"/>
      <c r="BX45" s="28" t="str">
        <f>IF(BV45&lt;&gt;"",BV45/BV$7,"")</f>
        <v/>
      </c>
      <c r="BZ45" s="90" t="str">
        <f t="shared" si="63"/>
        <v/>
      </c>
      <c r="CB45" s="99"/>
      <c r="CC45" s="14"/>
      <c r="CD45" s="148"/>
      <c r="CE45" s="14"/>
      <c r="CF45" s="28" t="str">
        <f>IF(CD45&lt;&gt;"",CD45/CD$7,"")</f>
        <v/>
      </c>
      <c r="CH45" s="90" t="str">
        <f t="shared" si="64"/>
        <v/>
      </c>
      <c r="CJ45" s="99"/>
      <c r="CK45" s="14"/>
      <c r="CL45" s="148"/>
      <c r="CM45" s="14"/>
      <c r="CN45" s="28" t="str">
        <f>IF(CL45&lt;&gt;"",CL45/CL$7,"")</f>
        <v/>
      </c>
      <c r="CP45" s="90" t="str">
        <f t="shared" si="65"/>
        <v/>
      </c>
      <c r="CR45" s="99"/>
      <c r="CS45" s="14"/>
      <c r="CT45" s="148"/>
      <c r="CU45" s="14"/>
      <c r="CV45" s="28" t="str">
        <f>IF(CT45&lt;&gt;"",CT45/CT$7,"")</f>
        <v/>
      </c>
      <c r="CX45" s="90" t="str">
        <f t="shared" si="66"/>
        <v/>
      </c>
    </row>
    <row r="46" spans="1:102" ht="15.6" x14ac:dyDescent="0.3">
      <c r="B46" s="51"/>
      <c r="C46" s="21" t="s">
        <v>139</v>
      </c>
      <c r="D46" s="70" t="e">
        <f t="shared" ref="D46" si="71">IF(AVERAGE(J46,R46,Z46,AH46,AP46,AX46,BF46,BN46,BV46,CD46,CL46,CT46)&lt;&gt;"",AVERAGE(J46,R46,Z46,AH46,AP46,AX46,BF46,BN46,BV46,CD46,CL46,CT46),"")</f>
        <v>#DIV/0!</v>
      </c>
      <c r="E46" s="130">
        <f t="shared" ref="E46" si="72">IF(SUM(J46,R46,Z46,AH46,AP46,AX46,BF46,BN46,BV46,CD46,CL46,CT46)&lt;&gt;"",SUM(J46,R46,Z46,AH46,AP46,AX46,BF46,BN46,BV46,CD46,CL46,CT46),"")</f>
        <v>0</v>
      </c>
      <c r="F46" s="73" t="str">
        <f t="shared" ref="F46" si="73">IF(E46&lt;&gt;0,E46/E$7,"")</f>
        <v/>
      </c>
      <c r="H46" s="99"/>
      <c r="J46" s="148"/>
      <c r="L46" s="28"/>
      <c r="N46" s="90"/>
      <c r="P46" s="99"/>
      <c r="Q46" s="14"/>
      <c r="R46" s="148"/>
      <c r="S46" s="14"/>
      <c r="T46" s="28"/>
      <c r="V46" s="90"/>
      <c r="X46" s="99"/>
      <c r="Y46" s="14"/>
      <c r="Z46" s="148"/>
      <c r="AA46" s="14"/>
      <c r="AB46" s="28"/>
      <c r="AC46" s="14"/>
      <c r="AD46" s="90"/>
      <c r="AF46" s="99"/>
      <c r="AG46" s="14"/>
      <c r="AH46" s="148"/>
      <c r="AI46" s="14"/>
      <c r="AJ46" s="28"/>
      <c r="AL46" s="90"/>
      <c r="AN46" s="99"/>
      <c r="AO46" s="14"/>
      <c r="AP46" s="148"/>
      <c r="AQ46" s="14"/>
      <c r="AR46" s="28"/>
      <c r="AT46" s="90"/>
      <c r="AV46" s="99"/>
      <c r="AW46" s="14"/>
      <c r="AX46" s="148"/>
      <c r="AY46" s="14"/>
      <c r="AZ46" s="28"/>
      <c r="BB46" s="90"/>
      <c r="BD46" s="99"/>
      <c r="BE46" s="14"/>
      <c r="BF46" s="148"/>
      <c r="BG46" s="14"/>
      <c r="BH46" s="28"/>
      <c r="BJ46" s="90"/>
      <c r="BL46" s="99"/>
      <c r="BM46" s="14"/>
      <c r="BN46" s="148"/>
      <c r="BO46" s="14"/>
      <c r="BP46" s="28"/>
      <c r="BR46" s="90"/>
      <c r="BT46" s="99"/>
      <c r="BU46" s="14"/>
      <c r="BV46" s="148"/>
      <c r="BW46" s="14"/>
      <c r="BX46" s="28"/>
      <c r="BZ46" s="90"/>
      <c r="CB46" s="203" t="s">
        <v>152</v>
      </c>
      <c r="CC46" s="14"/>
      <c r="CD46" s="148"/>
      <c r="CE46" s="14"/>
      <c r="CF46" s="28"/>
      <c r="CH46" s="90"/>
      <c r="CJ46" s="99"/>
      <c r="CK46" s="14"/>
      <c r="CL46" s="148"/>
      <c r="CM46" s="14"/>
      <c r="CN46" s="28"/>
      <c r="CP46" s="90"/>
      <c r="CR46" s="99"/>
      <c r="CS46" s="14"/>
      <c r="CT46" s="148"/>
      <c r="CU46" s="14"/>
      <c r="CV46" s="28"/>
      <c r="CX46" s="90"/>
    </row>
    <row r="47" spans="1:102" ht="15.6" x14ac:dyDescent="0.3">
      <c r="B47" s="51"/>
      <c r="C47" s="21" t="s">
        <v>52</v>
      </c>
      <c r="D47" s="70" t="e">
        <f t="shared" si="67"/>
        <v>#DIV/0!</v>
      </c>
      <c r="E47" s="130">
        <f t="shared" si="68"/>
        <v>0</v>
      </c>
      <c r="F47" s="73" t="str">
        <f t="shared" si="69"/>
        <v/>
      </c>
      <c r="H47" s="99"/>
      <c r="J47" s="148"/>
      <c r="L47" s="28" t="str">
        <f>IF(J47&lt;&gt;"",J47/J$7,"")</f>
        <v/>
      </c>
      <c r="N47" s="90" t="str">
        <f t="shared" si="70"/>
        <v/>
      </c>
      <c r="P47" s="99"/>
      <c r="Q47" s="14"/>
      <c r="R47" s="148"/>
      <c r="S47" s="14"/>
      <c r="T47" s="28" t="str">
        <f>IF(R47&lt;&gt;"",R47/R$7,"")</f>
        <v/>
      </c>
      <c r="V47" s="90"/>
      <c r="X47" s="99"/>
      <c r="Y47" s="14"/>
      <c r="Z47" s="148"/>
      <c r="AA47" s="14"/>
      <c r="AB47" s="28" t="str">
        <f>IF(Z47&lt;&gt;"",Z47/Z$7,"")</f>
        <v/>
      </c>
      <c r="AC47" s="14"/>
      <c r="AD47" s="90"/>
      <c r="AF47" s="99"/>
      <c r="AG47" s="14"/>
      <c r="AH47" s="148"/>
      <c r="AI47" s="14"/>
      <c r="AJ47" s="28" t="str">
        <f>IF(AH47&lt;&gt;"",AH47/AH$7,"")</f>
        <v/>
      </c>
      <c r="AL47" s="90"/>
      <c r="AN47" s="99"/>
      <c r="AO47" s="14"/>
      <c r="AP47" s="148"/>
      <c r="AQ47" s="14">
        <v>0</v>
      </c>
      <c r="AR47" s="28" t="str">
        <f>IF(AP47&lt;&gt;"",AP47/AP$7,"")</f>
        <v/>
      </c>
      <c r="AT47" s="90"/>
      <c r="AV47" s="99"/>
      <c r="AW47" s="14"/>
      <c r="AX47" s="148"/>
      <c r="AY47" s="14"/>
      <c r="AZ47" s="28" t="str">
        <f>IF(AX47&lt;&gt;"",AX47/AX$7,"")</f>
        <v/>
      </c>
      <c r="BB47" s="90"/>
      <c r="BD47" s="99"/>
      <c r="BE47" s="14"/>
      <c r="BF47" s="148"/>
      <c r="BG47" s="14"/>
      <c r="BH47" s="28" t="str">
        <f>IF(BF47&lt;&gt;"",BF47/BF$7,"")</f>
        <v/>
      </c>
      <c r="BJ47" s="90"/>
      <c r="BL47" s="99"/>
      <c r="BM47" s="14"/>
      <c r="BN47" s="148"/>
      <c r="BO47" s="14"/>
      <c r="BP47" s="28" t="str">
        <f>IF(BN47&lt;&gt;"",BN47/BN$7,"")</f>
        <v/>
      </c>
      <c r="BR47" s="90"/>
      <c r="BT47" s="99"/>
      <c r="BU47" s="14"/>
      <c r="BV47" s="148"/>
      <c r="BW47" s="14"/>
      <c r="BX47" s="28" t="str">
        <f>IF(BV47&lt;&gt;"",BV47/BV$7,"")</f>
        <v/>
      </c>
      <c r="BZ47" s="90"/>
      <c r="CB47" s="99"/>
      <c r="CC47" s="14"/>
      <c r="CD47" s="148"/>
      <c r="CE47" s="14"/>
      <c r="CF47" s="28" t="str">
        <f>IF(CD47&lt;&gt;"",CD47/CD$7,"")</f>
        <v/>
      </c>
      <c r="CH47" s="90"/>
      <c r="CJ47" s="99"/>
      <c r="CK47" s="14"/>
      <c r="CL47" s="148"/>
      <c r="CM47" s="14"/>
      <c r="CN47" s="28" t="str">
        <f>IF(CL47&lt;&gt;"",CL47/CL$7,"")</f>
        <v/>
      </c>
      <c r="CP47" s="90"/>
      <c r="CR47" s="99"/>
      <c r="CS47" s="14"/>
      <c r="CT47" s="148"/>
      <c r="CU47" s="14"/>
      <c r="CV47" s="28" t="str">
        <f>IF(CT47&lt;&gt;"",CT47/CT$7,"")</f>
        <v/>
      </c>
      <c r="CX47" s="90"/>
    </row>
    <row r="48" spans="1:102" ht="16.2" thickBot="1" x14ac:dyDescent="0.35">
      <c r="B48" s="52"/>
      <c r="C48" s="62" t="s">
        <v>130</v>
      </c>
      <c r="D48" s="70" t="e">
        <f t="shared" ref="D48" si="74">IF(AVERAGE(J48,R48,Z48,AH48,AP48,AX48,BF48,BN48,BV48,CD48,CL48,CT48)&lt;&gt;"",AVERAGE(J48,R48,Z48,AH48,AP48,AX48,BF48,BN48,BV48,CD48,CL48,CT48),"")</f>
        <v>#DIV/0!</v>
      </c>
      <c r="E48" s="130">
        <f t="shared" ref="E48" si="75">IF(SUM(J48,R48,Z48,AH48,AP48,AX48,BF48,BN48,BV48,CD48,CL48,CT48)&lt;&gt;"",SUM(J48,R48,Z48,AH48,AP48,AX48,BF48,BN48,BV48,CD48,CL48,CT48),"")</f>
        <v>0</v>
      </c>
      <c r="F48" s="73" t="str">
        <f t="shared" ref="F48" si="76">IF(E48&lt;&gt;0,E48/E$7,"")</f>
        <v/>
      </c>
      <c r="H48" s="64"/>
      <c r="J48" s="149"/>
      <c r="L48" s="28" t="str">
        <f t="shared" ref="L48" si="77">IF(J48&lt;&gt;"",J48/$J$7,"")</f>
        <v/>
      </c>
      <c r="N48" s="90" t="str">
        <f t="shared" si="70"/>
        <v/>
      </c>
      <c r="P48" s="64"/>
      <c r="Q48" s="14"/>
      <c r="R48" s="149"/>
      <c r="S48" s="14"/>
      <c r="T48" s="28" t="str">
        <f t="shared" ref="T48" si="78">IF(R48&lt;&gt;"",R48/$J$7,"")</f>
        <v/>
      </c>
      <c r="V48" s="90" t="str">
        <f t="shared" ref="V48" si="79">IF(R48&lt;&gt;0,(R48/P48)-1,"")</f>
        <v/>
      </c>
      <c r="X48" s="64"/>
      <c r="Y48" s="14"/>
      <c r="Z48" s="149"/>
      <c r="AA48" s="14"/>
      <c r="AB48" s="28" t="str">
        <f t="shared" ref="AB48" si="80">IF(Z48&lt;&gt;"",Z48/$J$7,"")</f>
        <v/>
      </c>
      <c r="AC48" s="14"/>
      <c r="AD48" s="90" t="str">
        <f t="shared" ref="AD48" si="81">IF(Z48&lt;&gt;0,(Z48/X48)-1,"")</f>
        <v/>
      </c>
      <c r="AF48" s="64"/>
      <c r="AG48" s="14"/>
      <c r="AH48" s="149"/>
      <c r="AI48" s="14"/>
      <c r="AJ48" s="28" t="str">
        <f t="shared" ref="AJ48" si="82">IF(AH48&lt;&gt;"",AH48/$J$7,"")</f>
        <v/>
      </c>
      <c r="AL48" s="90" t="str">
        <f t="shared" ref="AL48" si="83">IF(AH48&lt;&gt;0,(AH48/AF48)-1,"")</f>
        <v/>
      </c>
      <c r="AN48" s="64"/>
      <c r="AO48" s="14"/>
      <c r="AP48" s="149"/>
      <c r="AQ48" s="14"/>
      <c r="AR48" s="28" t="str">
        <f t="shared" ref="AR48" si="84">IF(AP48&lt;&gt;"",AP48/$J$7,"")</f>
        <v/>
      </c>
      <c r="AT48" s="90" t="str">
        <f t="shared" ref="AT48" si="85">IF(AP48&lt;&gt;0,(AP48/AN48)-1,"")</f>
        <v/>
      </c>
      <c r="AV48" s="64"/>
      <c r="AW48" s="14"/>
      <c r="AX48" s="149"/>
      <c r="AY48" s="14"/>
      <c r="AZ48" s="28" t="str">
        <f t="shared" ref="AZ48" si="86">IF(AX48&lt;&gt;"",AX48/$J$7,"")</f>
        <v/>
      </c>
      <c r="BB48" s="90" t="str">
        <f t="shared" ref="BB48" si="87">IF(AX48&lt;&gt;0,(AX48/AV48)-1,"")</f>
        <v/>
      </c>
      <c r="BD48" s="64"/>
      <c r="BE48" s="14"/>
      <c r="BF48" s="149"/>
      <c r="BG48" s="14"/>
      <c r="BH48" s="28" t="str">
        <f t="shared" ref="BH48" si="88">IF(BF48&lt;&gt;"",BF48/$J$7,"")</f>
        <v/>
      </c>
      <c r="BJ48" s="90" t="str">
        <f t="shared" ref="BJ48" si="89">IF(BF48&lt;&gt;0,(BF48/BD48)-1,"")</f>
        <v/>
      </c>
      <c r="BL48" s="64"/>
      <c r="BM48" s="14"/>
      <c r="BN48" s="149"/>
      <c r="BO48" s="14"/>
      <c r="BP48" s="28" t="str">
        <f t="shared" ref="BP48" si="90">IF(BN48&lt;&gt;"",BN48/$J$7,"")</f>
        <v/>
      </c>
      <c r="BR48" s="90" t="str">
        <f t="shared" ref="BR48" si="91">IF(BN48&lt;&gt;0,(BN48/BL48)-1,"")</f>
        <v/>
      </c>
      <c r="BT48" s="64"/>
      <c r="BU48" s="14"/>
      <c r="BV48" s="149"/>
      <c r="BW48" s="14"/>
      <c r="BX48" s="28" t="str">
        <f t="shared" ref="BX48" si="92">IF(BV48&lt;&gt;"",BV48/$J$7,"")</f>
        <v/>
      </c>
      <c r="BZ48" s="90" t="str">
        <f t="shared" ref="BZ48" si="93">IF(BV48&lt;&gt;0,(BV48/BT48)-1,"")</f>
        <v/>
      </c>
      <c r="CB48" s="64"/>
      <c r="CC48" s="14"/>
      <c r="CD48" s="149"/>
      <c r="CE48" s="14"/>
      <c r="CF48" s="28" t="str">
        <f t="shared" ref="CF48" si="94">IF(CD48&lt;&gt;"",CD48/$J$7,"")</f>
        <v/>
      </c>
      <c r="CH48" s="90" t="str">
        <f t="shared" ref="CH48" si="95">IF(CD48&lt;&gt;0,(CD48/CB48)-1,"")</f>
        <v/>
      </c>
      <c r="CJ48" s="64"/>
      <c r="CK48" s="14"/>
      <c r="CL48" s="149"/>
      <c r="CM48" s="14"/>
      <c r="CN48" s="28" t="str">
        <f t="shared" ref="CN48" si="96">IF(CL48&lt;&gt;"",CL48/$J$7,"")</f>
        <v/>
      </c>
      <c r="CP48" s="90" t="str">
        <f t="shared" ref="CP48" si="97">IF(CL48&lt;&gt;0,(CL48/CJ48)-1,"")</f>
        <v/>
      </c>
      <c r="CR48" s="64"/>
      <c r="CS48" s="14"/>
      <c r="CT48" s="149"/>
      <c r="CU48" s="14"/>
      <c r="CV48" s="28" t="str">
        <f t="shared" ref="CV48" si="98">IF(CT48&lt;&gt;"",CT48/$J$7,"")</f>
        <v/>
      </c>
      <c r="CX48" s="90" t="str">
        <f t="shared" ref="CX48" si="99">IF(CT48&lt;&gt;0,(CT48/CR48)-1,"")</f>
        <v/>
      </c>
    </row>
    <row r="49" spans="2:102" ht="9" customHeight="1" thickBot="1" x14ac:dyDescent="0.35">
      <c r="C49" s="39"/>
      <c r="F49" s="17"/>
      <c r="H49" s="36"/>
      <c r="J49" s="36"/>
      <c r="L49" s="31"/>
      <c r="N49" s="31"/>
      <c r="P49" s="36"/>
      <c r="Q49" s="14"/>
      <c r="R49" s="36"/>
      <c r="S49" s="14"/>
      <c r="T49" s="31"/>
      <c r="V49" s="31"/>
      <c r="X49" s="36"/>
      <c r="Y49" s="14"/>
      <c r="Z49" s="36"/>
      <c r="AA49" s="14"/>
      <c r="AB49" s="31"/>
      <c r="AC49" s="14"/>
      <c r="AD49" s="31"/>
      <c r="AF49" s="36"/>
      <c r="AG49" s="14"/>
      <c r="AH49" s="36"/>
      <c r="AI49" s="14"/>
      <c r="AJ49" s="31"/>
      <c r="AL49" s="31"/>
      <c r="AN49" s="36"/>
      <c r="AO49" s="14"/>
      <c r="AP49" s="36"/>
      <c r="AQ49" s="14"/>
      <c r="AR49" s="31"/>
      <c r="AT49" s="31"/>
      <c r="AV49" s="36"/>
      <c r="AW49" s="14"/>
      <c r="AX49" s="36"/>
      <c r="AY49" s="14"/>
      <c r="AZ49" s="31"/>
      <c r="BB49" s="31"/>
      <c r="BD49" s="36"/>
      <c r="BE49" s="14"/>
      <c r="BF49" s="36"/>
      <c r="BG49" s="14"/>
      <c r="BH49" s="31"/>
      <c r="BJ49" s="31"/>
      <c r="BL49" s="36"/>
      <c r="BM49" s="14"/>
      <c r="BN49" s="36"/>
      <c r="BO49" s="14"/>
      <c r="BP49" s="31"/>
      <c r="BR49" s="31"/>
      <c r="BT49" s="36"/>
      <c r="BU49" s="14"/>
      <c r="BV49" s="36"/>
      <c r="BW49" s="14"/>
      <c r="BX49" s="31"/>
      <c r="BZ49" s="31"/>
      <c r="CB49" s="36"/>
      <c r="CC49" s="14"/>
      <c r="CD49" s="36"/>
      <c r="CE49" s="14"/>
      <c r="CF49" s="31"/>
      <c r="CH49" s="31"/>
      <c r="CJ49" s="36"/>
      <c r="CK49" s="14"/>
      <c r="CL49" s="36"/>
      <c r="CM49" s="14"/>
      <c r="CN49" s="31"/>
      <c r="CP49" s="31"/>
      <c r="CR49" s="36"/>
      <c r="CS49" s="14"/>
      <c r="CT49" s="36"/>
      <c r="CU49" s="14"/>
      <c r="CV49" s="31"/>
      <c r="CX49" s="31"/>
    </row>
    <row r="50" spans="2:102" ht="16.2" thickBot="1" x14ac:dyDescent="0.35">
      <c r="B50" s="208" t="s">
        <v>111</v>
      </c>
      <c r="C50" s="209"/>
      <c r="D50" s="29" t="e">
        <f>IF(SUM(D51:D73)&lt;&gt;"",SUM(D51:D73),"")</f>
        <v>#DIV/0!</v>
      </c>
      <c r="E50" s="127">
        <f t="shared" ref="E50:F50" si="100">IF(SUM(E51:E73)&lt;&gt;"",SUM(E51:E73),"")</f>
        <v>0</v>
      </c>
      <c r="F50" s="54">
        <f t="shared" si="100"/>
        <v>0</v>
      </c>
      <c r="H50" s="38">
        <f>IF(SUM(H51:H73)&lt;&gt;"",SUM(H51:H73),"")</f>
        <v>0</v>
      </c>
      <c r="J50" s="38">
        <f>IF(SUM(J51:J73)&lt;&gt;"",SUM(J51:J73),"")</f>
        <v>0</v>
      </c>
      <c r="L50" s="53" t="str">
        <f>IF(SUM(L51:L73)&lt;&gt;0,SUM(L51:L73),"")</f>
        <v/>
      </c>
      <c r="N50" s="30" t="e">
        <f>IF(J50&lt;&gt;"",(J50/$D50)-1,"")</f>
        <v>#DIV/0!</v>
      </c>
      <c r="P50" s="38">
        <f>IF(SUM(P51:P73)&lt;&gt;"",SUM(P51:P73),"")</f>
        <v>0</v>
      </c>
      <c r="Q50" s="14"/>
      <c r="R50" s="38">
        <f>IF(SUM(R51:R73)&lt;&gt;"",SUM(R51:R73),"")</f>
        <v>0</v>
      </c>
      <c r="S50" s="14"/>
      <c r="T50" s="53" t="str">
        <f>IF(SUM(T51:T73)&lt;&gt;0,SUM(T51:T73),"")</f>
        <v/>
      </c>
      <c r="V50" s="94" t="str">
        <f t="shared" ref="V50:V51" si="101">IF(R50&lt;&gt;0,(R50/P50)-1,"")</f>
        <v/>
      </c>
      <c r="X50" s="38">
        <f>IF(SUM(X51:X73)&lt;&gt;"",SUM(X51:X73),"")</f>
        <v>0</v>
      </c>
      <c r="Y50" s="14"/>
      <c r="Z50" s="38">
        <f>IF(SUM(Z51:Z73)&lt;&gt;"",SUM(Z51:Z73),"")</f>
        <v>0</v>
      </c>
      <c r="AA50" s="14"/>
      <c r="AB50" s="53" t="str">
        <f>IF(SUM(AB51:AB73)&lt;&gt;0,SUM(AB51:AB73),"")</f>
        <v/>
      </c>
      <c r="AC50" s="14"/>
      <c r="AD50" s="94" t="str">
        <f t="shared" ref="AD50:AD51" si="102">IF(Z50&lt;&gt;0,(Z50/X50)-1,"")</f>
        <v/>
      </c>
      <c r="AF50" s="38">
        <f>IF(SUM(AF51:AF73)&lt;&gt;"",SUM(AF51:AF73),"")</f>
        <v>0</v>
      </c>
      <c r="AG50" s="14"/>
      <c r="AH50" s="38">
        <f>IF(SUM(AH51:AH73)&lt;&gt;"",SUM(AH51:AH73),"")</f>
        <v>0</v>
      </c>
      <c r="AI50" s="14"/>
      <c r="AJ50" s="53" t="str">
        <f>IF(SUM(AJ51:AJ73)&lt;&gt;0,SUM(AJ51:AJ73),"")</f>
        <v/>
      </c>
      <c r="AL50" s="94" t="str">
        <f t="shared" ref="AL50:AL51" si="103">IF(AH50&lt;&gt;0,(AH50/AF50)-1,"")</f>
        <v/>
      </c>
      <c r="AN50" s="38">
        <f>IF(SUM(AN51:AN73)&lt;&gt;"",SUM(AN51:AN73),"")</f>
        <v>0</v>
      </c>
      <c r="AO50" s="14"/>
      <c r="AP50" s="38">
        <f>IF(SUM(AP51:AP73)&lt;&gt;"",SUM(AP51:AP73),"")</f>
        <v>0</v>
      </c>
      <c r="AQ50" s="14"/>
      <c r="AR50" s="53" t="str">
        <f>IF(SUM(AR51:AR73)&lt;&gt;0,SUM(AR51:AR73),"")</f>
        <v/>
      </c>
      <c r="AT50" s="94" t="str">
        <f t="shared" ref="AT50:AT51" si="104">IF(AP50&lt;&gt;0,(AP50/AN50)-1,"")</f>
        <v/>
      </c>
      <c r="AV50" s="38">
        <f>IF(SUM(AV51:AV73)&lt;&gt;"",SUM(AV51:AV73),"")</f>
        <v>0</v>
      </c>
      <c r="AW50" s="14"/>
      <c r="AX50" s="38">
        <f>IF(SUM(AX51:AX73)&lt;&gt;"",SUM(AX51:AX73),"")</f>
        <v>0</v>
      </c>
      <c r="AY50" s="14"/>
      <c r="AZ50" s="53" t="str">
        <f>IF(SUM(AZ51:AZ73)&lt;&gt;0,SUM(AZ51:AZ73),"")</f>
        <v/>
      </c>
      <c r="BB50" s="94" t="str">
        <f t="shared" ref="BB50:BB51" si="105">IF(AX50&lt;&gt;0,(AX50/AV50)-1,"")</f>
        <v/>
      </c>
      <c r="BD50" s="38">
        <f>IF(SUM(BD51:BD73)&lt;&gt;"",SUM(BD51:BD73),"")</f>
        <v>0</v>
      </c>
      <c r="BE50" s="14"/>
      <c r="BF50" s="38">
        <f>IF(SUM(BF51:BF73)&lt;&gt;"",SUM(BF51:BF73),"")</f>
        <v>0</v>
      </c>
      <c r="BG50" s="14"/>
      <c r="BH50" s="53" t="str">
        <f>IF(SUM(BH51:BH73)&lt;&gt;0,SUM(BH51:BH73),"")</f>
        <v/>
      </c>
      <c r="BJ50" s="94" t="str">
        <f t="shared" ref="BJ50:BJ51" si="106">IF(BF50&lt;&gt;0,(BF50/BD50)-1,"")</f>
        <v/>
      </c>
      <c r="BL50" s="38">
        <f>IF(SUM(BL51:BL73)&lt;&gt;"",SUM(BL51:BL73),"")</f>
        <v>0</v>
      </c>
      <c r="BM50" s="14"/>
      <c r="BN50" s="38">
        <f>IF(SUM(BN51:BN73)&lt;&gt;"",SUM(BN51:BN73),"")</f>
        <v>0</v>
      </c>
      <c r="BO50" s="14"/>
      <c r="BP50" s="53" t="str">
        <f>IF(SUM(BP51:BP73)&lt;&gt;0,SUM(BP51:BP73),"")</f>
        <v/>
      </c>
      <c r="BR50" s="94" t="str">
        <f t="shared" ref="BR50:BR51" si="107">IF(BN50&lt;&gt;0,(BN50/BL50)-1,"")</f>
        <v/>
      </c>
      <c r="BT50" s="38">
        <f>IF(SUM(BT51:BT73)&lt;&gt;"",SUM(BT51:BT73),"")</f>
        <v>0</v>
      </c>
      <c r="BU50" s="14"/>
      <c r="BV50" s="38">
        <f>IF(SUM(BV51:BV73)&lt;&gt;"",SUM(BV51:BV73),"")</f>
        <v>0</v>
      </c>
      <c r="BW50" s="14"/>
      <c r="BX50" s="53" t="str">
        <f>IF(SUM(BX51:BX73)&lt;&gt;0,SUM(BX51:BX73),"")</f>
        <v/>
      </c>
      <c r="BZ50" s="94" t="str">
        <f t="shared" ref="BZ50:BZ51" si="108">IF(BV50&lt;&gt;0,(BV50/BT50)-1,"")</f>
        <v/>
      </c>
      <c r="CB50" s="38">
        <f>IF(SUM(CB51:CB73)&lt;&gt;"",SUM(CB51:CB73),"")</f>
        <v>0</v>
      </c>
      <c r="CC50" s="14"/>
      <c r="CD50" s="38">
        <f>IF(SUM(CD51:CD73)&lt;&gt;"",SUM(CD51:CD73),"")</f>
        <v>0</v>
      </c>
      <c r="CE50" s="14"/>
      <c r="CF50" s="53" t="str">
        <f>IF(SUM(CF51:CF73)&lt;&gt;0,SUM(CF51:CF73),"")</f>
        <v/>
      </c>
      <c r="CH50" s="94" t="str">
        <f t="shared" ref="CH50:CH51" si="109">IF(CD50&lt;&gt;0,(CD50/CB50)-1,"")</f>
        <v/>
      </c>
      <c r="CJ50" s="38">
        <f>IF(SUM(CJ51:CJ73)&lt;&gt;"",SUM(CJ51:CJ73),"")</f>
        <v>0</v>
      </c>
      <c r="CK50" s="14"/>
      <c r="CL50" s="38">
        <f>IF(SUM(CL51:CL73)&lt;&gt;"",SUM(CL51:CL73),"")</f>
        <v>0</v>
      </c>
      <c r="CM50" s="14"/>
      <c r="CN50" s="53" t="str">
        <f>IF(SUM(CN51:CN73)&lt;&gt;0,SUM(CN51:CN73),"")</f>
        <v/>
      </c>
      <c r="CP50" s="94" t="str">
        <f t="shared" ref="CP50:CP51" si="110">IF(CL50&lt;&gt;0,(CL50/CJ50)-1,"")</f>
        <v/>
      </c>
      <c r="CR50" s="38">
        <f>IF(SUM(CR51:CR73)&lt;&gt;"",SUM(CR51:CR73),"")</f>
        <v>0</v>
      </c>
      <c r="CS50" s="14"/>
      <c r="CT50" s="38">
        <f>IF(SUM(CT51:CT73)&lt;&gt;"",SUM(CT51:CT73),"")</f>
        <v>0</v>
      </c>
      <c r="CU50" s="14"/>
      <c r="CV50" s="53" t="str">
        <f>IF(SUM(CV51:CV73)&lt;&gt;0,SUM(CV51:CV73),"")</f>
        <v/>
      </c>
      <c r="CX50" s="94" t="str">
        <f t="shared" ref="CX50:CX51" si="111">IF(CT50&lt;&gt;0,(CT50/CR50)-1,"")</f>
        <v/>
      </c>
    </row>
    <row r="51" spans="2:102" ht="15.6" x14ac:dyDescent="0.3">
      <c r="B51" s="50"/>
      <c r="C51" s="21" t="s">
        <v>21</v>
      </c>
      <c r="D51" s="78" t="e">
        <f>IF(AVERAGE(J51,R51,Z51,AH51,AP51,AX51,BF51,BN51,BV51,CD51,CL51,CT51)&lt;&gt;"",AVERAGE(J51,R51,Z51,AH51,AP51,AX51,BF51,BN51,BV51,CD51,CL51,CT51),"")</f>
        <v>#DIV/0!</v>
      </c>
      <c r="E51" s="130">
        <f>IF(SUM(J51,R51,Z51,AH51,AP51,AX51,BF51,BN51,BV51,CD51,CL51,CT51)&lt;&gt;"",SUM(J51,R51,Z51,AH51,AP51,AX51,BF51,BN51,BV51,CD51,CL51,CT51),"")</f>
        <v>0</v>
      </c>
      <c r="F51" s="73" t="str">
        <f t="shared" ref="F51:F71" si="112">IF(E51&lt;&gt;0,E51/E$7,"")</f>
        <v/>
      </c>
      <c r="H51" s="63"/>
      <c r="J51" s="150"/>
      <c r="L51" s="28" t="str">
        <f>IF(J51&lt;&gt;"",J51/J$7,"")</f>
        <v/>
      </c>
      <c r="N51" s="90" t="str">
        <f t="shared" ref="N51:N71" si="113">IF(J51&lt;&gt;0,(J51/D51)-1,"")</f>
        <v/>
      </c>
      <c r="P51" s="63"/>
      <c r="Q51" s="14"/>
      <c r="R51" s="150"/>
      <c r="S51" s="14"/>
      <c r="T51" s="28" t="str">
        <f>IF(R51&lt;&gt;"",R51/R$7,"")</f>
        <v/>
      </c>
      <c r="V51" s="90" t="str">
        <f t="shared" si="101"/>
        <v/>
      </c>
      <c r="X51" s="63"/>
      <c r="Y51" s="14"/>
      <c r="Z51" s="150"/>
      <c r="AA51" s="14"/>
      <c r="AB51" s="28" t="str">
        <f>IF(Z51&lt;&gt;"",Z51/Z$7,"")</f>
        <v/>
      </c>
      <c r="AC51" s="14"/>
      <c r="AD51" s="90" t="str">
        <f t="shared" si="102"/>
        <v/>
      </c>
      <c r="AF51" s="63"/>
      <c r="AG51" s="14"/>
      <c r="AH51" s="150"/>
      <c r="AI51" s="14"/>
      <c r="AJ51" s="28" t="str">
        <f>IF(AH51&lt;&gt;"",AH51/AH$7,"")</f>
        <v/>
      </c>
      <c r="AL51" s="90" t="str">
        <f t="shared" si="103"/>
        <v/>
      </c>
      <c r="AN51" s="63"/>
      <c r="AO51" s="14"/>
      <c r="AP51" s="150"/>
      <c r="AQ51" s="14"/>
      <c r="AR51" s="28" t="str">
        <f>IF(AP51&lt;&gt;"",AP51/AP$7,"")</f>
        <v/>
      </c>
      <c r="AT51" s="90" t="str">
        <f t="shared" si="104"/>
        <v/>
      </c>
      <c r="AV51" s="63"/>
      <c r="AW51" s="14"/>
      <c r="AX51" s="150"/>
      <c r="AY51" s="14"/>
      <c r="AZ51" s="28" t="str">
        <f>IF(AX51&lt;&gt;"",AX51/AX$7,"")</f>
        <v/>
      </c>
      <c r="BB51" s="90" t="str">
        <f t="shared" si="105"/>
        <v/>
      </c>
      <c r="BD51" s="63"/>
      <c r="BE51" s="14"/>
      <c r="BF51" s="150"/>
      <c r="BG51" s="14"/>
      <c r="BH51" s="28" t="str">
        <f>IF(BF51&lt;&gt;"",BF51/BF$7,"")</f>
        <v/>
      </c>
      <c r="BJ51" s="90" t="str">
        <f t="shared" si="106"/>
        <v/>
      </c>
      <c r="BL51" s="63"/>
      <c r="BM51" s="14"/>
      <c r="BN51" s="150"/>
      <c r="BO51" s="14"/>
      <c r="BP51" s="28" t="str">
        <f>IF(BN51&lt;&gt;"",BN51/BN$7,"")</f>
        <v/>
      </c>
      <c r="BR51" s="90" t="str">
        <f t="shared" si="107"/>
        <v/>
      </c>
      <c r="BT51" s="63"/>
      <c r="BU51" s="14"/>
      <c r="BV51" s="150"/>
      <c r="BW51" s="14"/>
      <c r="BX51" s="28" t="str">
        <f>IF(BV51&lt;&gt;"",BV51/BV$7,"")</f>
        <v/>
      </c>
      <c r="BZ51" s="90" t="str">
        <f t="shared" si="108"/>
        <v/>
      </c>
      <c r="CB51" s="63"/>
      <c r="CC51" s="14"/>
      <c r="CD51" s="150"/>
      <c r="CE51" s="14"/>
      <c r="CF51" s="28" t="str">
        <f>IF(CD51&lt;&gt;"",CD51/CD$7,"")</f>
        <v/>
      </c>
      <c r="CH51" s="90" t="str">
        <f t="shared" si="109"/>
        <v/>
      </c>
      <c r="CJ51" s="63"/>
      <c r="CK51" s="14"/>
      <c r="CL51" s="150"/>
      <c r="CM51" s="14"/>
      <c r="CN51" s="28" t="str">
        <f>IF(CL51&lt;&gt;"",CL51/CL$7,"")</f>
        <v/>
      </c>
      <c r="CP51" s="90" t="str">
        <f t="shared" si="110"/>
        <v/>
      </c>
      <c r="CR51" s="63"/>
      <c r="CS51" s="14"/>
      <c r="CT51" s="150"/>
      <c r="CU51" s="14"/>
      <c r="CV51" s="28" t="str">
        <f>IF(CT51&lt;&gt;"",CT51/CT$7,"")</f>
        <v/>
      </c>
      <c r="CX51" s="90" t="str">
        <f t="shared" si="111"/>
        <v/>
      </c>
    </row>
    <row r="52" spans="2:102" ht="15.6" x14ac:dyDescent="0.3">
      <c r="B52" s="111"/>
      <c r="C52" s="21" t="s">
        <v>22</v>
      </c>
      <c r="D52" s="78" t="e">
        <f>IF(AVERAGE(J52,R52,Z52,AH52,AP52,AX52,BF52,BN52,BV52,CD52,CL52,CT52)&lt;&gt;"",AVERAGE(J52,R52,Z52,AH52,AP52,AX52,BF52,BN52,BV52,CD52,CL52,CT52),"")</f>
        <v>#DIV/0!</v>
      </c>
      <c r="E52" s="130">
        <f>IF(SUM(J52,R52,Z52,AH52,AP52,AX52,BF52,BN52,BV52,CD52,CL52,CT52)&lt;&gt;"",SUM(J52,R52,Z52,AH52,AP52,AX52,BF52,BN52,BV52,CD52,CL52,CT52),"")</f>
        <v>0</v>
      </c>
      <c r="F52" s="79" t="str">
        <f t="shared" si="112"/>
        <v/>
      </c>
      <c r="H52" s="35"/>
      <c r="J52" s="147"/>
      <c r="L52" s="28" t="str">
        <f>IF(J52&lt;&gt;"",J52/J$7,"")</f>
        <v/>
      </c>
      <c r="N52" s="90" t="str">
        <f t="shared" si="113"/>
        <v/>
      </c>
      <c r="P52" s="35"/>
      <c r="Q52" s="14"/>
      <c r="R52" s="147"/>
      <c r="S52" s="14"/>
      <c r="T52" s="28" t="str">
        <f>IF(R52&lt;&gt;"",R52/R$7,"")</f>
        <v/>
      </c>
      <c r="V52" s="90"/>
      <c r="X52" s="35"/>
      <c r="Y52" s="14"/>
      <c r="Z52" s="147"/>
      <c r="AA52" s="14"/>
      <c r="AB52" s="28" t="str">
        <f>IF(Z52&lt;&gt;"",Z52/Z$7,"")</f>
        <v/>
      </c>
      <c r="AC52" s="14"/>
      <c r="AD52" s="90"/>
      <c r="AF52" s="35"/>
      <c r="AG52" s="14"/>
      <c r="AH52" s="147"/>
      <c r="AI52" s="14"/>
      <c r="AJ52" s="28" t="str">
        <f>IF(AH52&lt;&gt;"",AH52/AH$7,"")</f>
        <v/>
      </c>
      <c r="AL52" s="90"/>
      <c r="AN52" s="35"/>
      <c r="AO52" s="14"/>
      <c r="AP52" s="147"/>
      <c r="AQ52" s="14"/>
      <c r="AR52" s="28" t="str">
        <f>IF(AP52&lt;&gt;"",AP52/AP$7,"")</f>
        <v/>
      </c>
      <c r="AT52" s="90"/>
      <c r="AV52" s="35"/>
      <c r="AW52" s="14"/>
      <c r="AX52" s="147"/>
      <c r="AY52" s="14"/>
      <c r="AZ52" s="28" t="str">
        <f>IF(AX52&lt;&gt;"",AX52/AX$7,"")</f>
        <v/>
      </c>
      <c r="BB52" s="90"/>
      <c r="BD52" s="35"/>
      <c r="BE52" s="14"/>
      <c r="BF52" s="147"/>
      <c r="BG52" s="14"/>
      <c r="BH52" s="28" t="str">
        <f>IF(BF52&lt;&gt;"",BF52/BF$7,"")</f>
        <v/>
      </c>
      <c r="BJ52" s="90"/>
      <c r="BL52" s="35"/>
      <c r="BM52" s="14"/>
      <c r="BN52" s="147"/>
      <c r="BO52" s="14"/>
      <c r="BP52" s="28" t="str">
        <f>IF(BN52&lt;&gt;"",BN52/BN$7,"")</f>
        <v/>
      </c>
      <c r="BR52" s="90"/>
      <c r="BT52" s="35"/>
      <c r="BU52" s="14"/>
      <c r="BV52" s="147"/>
      <c r="BW52" s="14"/>
      <c r="BX52" s="28" t="str">
        <f>IF(BV52&lt;&gt;"",BV52/BV$7,"")</f>
        <v/>
      </c>
      <c r="BZ52" s="90"/>
      <c r="CB52" s="35"/>
      <c r="CC52" s="14"/>
      <c r="CD52" s="147"/>
      <c r="CE52" s="14"/>
      <c r="CF52" s="28" t="str">
        <f>IF(CD52&lt;&gt;"",CD52/CD$7,"")</f>
        <v/>
      </c>
      <c r="CH52" s="90"/>
      <c r="CJ52" s="35"/>
      <c r="CK52" s="14"/>
      <c r="CL52" s="147"/>
      <c r="CM52" s="14"/>
      <c r="CN52" s="28" t="str">
        <f>IF(CL52&lt;&gt;"",CL52/CL$7,"")</f>
        <v/>
      </c>
      <c r="CP52" s="90"/>
      <c r="CR52" s="35"/>
      <c r="CS52" s="14"/>
      <c r="CT52" s="147"/>
      <c r="CU52" s="14"/>
      <c r="CV52" s="28" t="str">
        <f>IF(CT52&lt;&gt;"",CT52/CT$7,"")</f>
        <v/>
      </c>
      <c r="CX52" s="90"/>
    </row>
    <row r="53" spans="2:102" ht="15.6" x14ac:dyDescent="0.3">
      <c r="B53" s="111"/>
      <c r="C53" s="21" t="s">
        <v>118</v>
      </c>
      <c r="D53" s="78" t="e">
        <f t="shared" ref="D53:D71" si="114">IF(AVERAGE(J53,R53,Z53,AH53,AP53,AX53,BF53,BN53,BV53,CD53,CL53,CT53)&lt;&gt;"",AVERAGE(J53,R53,Z53,AH53,AP53,AX53,BF53,BN53,BV53,CD53,CL53,CT53),"")</f>
        <v>#DIV/0!</v>
      </c>
      <c r="E53" s="130">
        <f t="shared" ref="E53:E71" si="115">IF(SUM(J53,R53,Z53,AH53,AP53,AX53,BF53,BN53,BV53,CD53,CL53,CT53)&lt;&gt;"",SUM(J53,R53,Z53,AH53,AP53,AX53,BF53,BN53,BV53,CD53,CL53,CT53),"")</f>
        <v>0</v>
      </c>
      <c r="F53" s="73" t="str">
        <f t="shared" si="112"/>
        <v/>
      </c>
      <c r="H53" s="35"/>
      <c r="J53" s="147"/>
      <c r="L53" s="28" t="str">
        <f t="shared" ref="L53:L71" si="116">IF(J53&lt;&gt;"",J53/J$7,"")</f>
        <v/>
      </c>
      <c r="N53" s="90" t="str">
        <f t="shared" si="113"/>
        <v/>
      </c>
      <c r="P53" s="35"/>
      <c r="Q53" s="14"/>
      <c r="R53" s="147"/>
      <c r="S53" s="14"/>
      <c r="T53" s="28" t="str">
        <f t="shared" ref="T53:T71" si="117">IF(R53&lt;&gt;"",R53/R$7,"")</f>
        <v/>
      </c>
      <c r="V53" s="90"/>
      <c r="X53" s="35"/>
      <c r="Y53" s="14"/>
      <c r="Z53" s="147"/>
      <c r="AA53" s="14"/>
      <c r="AB53" s="28" t="str">
        <f t="shared" ref="AB53:AB71" si="118">IF(Z53&lt;&gt;"",Z53/Z$7,"")</f>
        <v/>
      </c>
      <c r="AC53" s="14"/>
      <c r="AD53" s="90"/>
      <c r="AF53" s="35"/>
      <c r="AG53" s="14"/>
      <c r="AH53" s="147"/>
      <c r="AI53" s="14"/>
      <c r="AJ53" s="28" t="str">
        <f t="shared" ref="AJ53:AJ71" si="119">IF(AH53&lt;&gt;"",AH53/AH$7,"")</f>
        <v/>
      </c>
      <c r="AL53" s="90"/>
      <c r="AN53" s="35"/>
      <c r="AO53" s="14"/>
      <c r="AP53" s="147"/>
      <c r="AQ53" s="14"/>
      <c r="AR53" s="28" t="str">
        <f t="shared" ref="AR53:AR71" si="120">IF(AP53&lt;&gt;"",AP53/AP$7,"")</f>
        <v/>
      </c>
      <c r="AT53" s="90"/>
      <c r="AV53" s="35"/>
      <c r="AW53" s="14"/>
      <c r="AX53" s="147"/>
      <c r="AY53" s="14"/>
      <c r="AZ53" s="28" t="str">
        <f t="shared" ref="AZ53:AZ71" si="121">IF(AX53&lt;&gt;"",AX53/AX$7,"")</f>
        <v/>
      </c>
      <c r="BB53" s="90"/>
      <c r="BD53" s="35"/>
      <c r="BE53" s="14"/>
      <c r="BF53" s="147"/>
      <c r="BG53" s="14"/>
      <c r="BH53" s="28" t="str">
        <f t="shared" ref="BH53:BH71" si="122">IF(BF53&lt;&gt;"",BF53/BF$7,"")</f>
        <v/>
      </c>
      <c r="BJ53" s="90"/>
      <c r="BL53" s="35"/>
      <c r="BM53" s="14"/>
      <c r="BN53" s="147"/>
      <c r="BO53" s="14"/>
      <c r="BP53" s="28" t="str">
        <f t="shared" ref="BP53:BP71" si="123">IF(BN53&lt;&gt;"",BN53/BN$7,"")</f>
        <v/>
      </c>
      <c r="BR53" s="90"/>
      <c r="BT53" s="35"/>
      <c r="BU53" s="14"/>
      <c r="BV53" s="147"/>
      <c r="BW53" s="14"/>
      <c r="BX53" s="28" t="str">
        <f t="shared" ref="BX53:BX71" si="124">IF(BV53&lt;&gt;"",BV53/BV$7,"")</f>
        <v/>
      </c>
      <c r="BZ53" s="90"/>
      <c r="CB53" s="35"/>
      <c r="CC53" s="14"/>
      <c r="CD53" s="147"/>
      <c r="CE53" s="14"/>
      <c r="CF53" s="28" t="str">
        <f t="shared" ref="CF53:CF71" si="125">IF(CD53&lt;&gt;"",CD53/CD$7,"")</f>
        <v/>
      </c>
      <c r="CH53" s="90"/>
      <c r="CJ53" s="35"/>
      <c r="CK53" s="14"/>
      <c r="CL53" s="147"/>
      <c r="CM53" s="14"/>
      <c r="CN53" s="28" t="str">
        <f t="shared" ref="CN53:CN71" si="126">IF(CL53&lt;&gt;"",CL53/CL$7,"")</f>
        <v/>
      </c>
      <c r="CP53" s="90"/>
      <c r="CR53" s="35"/>
      <c r="CS53" s="14"/>
      <c r="CT53" s="147"/>
      <c r="CU53" s="14"/>
      <c r="CV53" s="28" t="str">
        <f t="shared" ref="CV53:CV71" si="127">IF(CT53&lt;&gt;"",CT53/CT$7,"")</f>
        <v/>
      </c>
      <c r="CX53" s="90"/>
    </row>
    <row r="54" spans="2:102" ht="15.6" x14ac:dyDescent="0.3">
      <c r="B54" s="111"/>
      <c r="C54" s="22" t="s">
        <v>117</v>
      </c>
      <c r="D54" s="78" t="e">
        <f t="shared" si="114"/>
        <v>#DIV/0!</v>
      </c>
      <c r="E54" s="130">
        <f t="shared" si="115"/>
        <v>0</v>
      </c>
      <c r="F54" s="73" t="str">
        <f t="shared" si="112"/>
        <v/>
      </c>
      <c r="H54" s="35"/>
      <c r="J54" s="147"/>
      <c r="L54" s="28" t="str">
        <f t="shared" si="116"/>
        <v/>
      </c>
      <c r="N54" s="90" t="str">
        <f t="shared" si="113"/>
        <v/>
      </c>
      <c r="P54" s="35"/>
      <c r="Q54" s="14"/>
      <c r="R54" s="147"/>
      <c r="S54" s="14"/>
      <c r="T54" s="28" t="str">
        <f t="shared" si="117"/>
        <v/>
      </c>
      <c r="V54" s="90"/>
      <c r="X54" s="35"/>
      <c r="Y54" s="14"/>
      <c r="Z54" s="147"/>
      <c r="AA54" s="14"/>
      <c r="AB54" s="28" t="str">
        <f t="shared" si="118"/>
        <v/>
      </c>
      <c r="AC54" s="14"/>
      <c r="AD54" s="90"/>
      <c r="AF54" s="35"/>
      <c r="AG54" s="14"/>
      <c r="AH54" s="147"/>
      <c r="AI54" s="14"/>
      <c r="AJ54" s="28" t="str">
        <f t="shared" si="119"/>
        <v/>
      </c>
      <c r="AL54" s="90"/>
      <c r="AN54" s="35"/>
      <c r="AO54" s="14"/>
      <c r="AP54" s="147"/>
      <c r="AQ54" s="14"/>
      <c r="AR54" s="28" t="str">
        <f t="shared" si="120"/>
        <v/>
      </c>
      <c r="AT54" s="90"/>
      <c r="AV54" s="35"/>
      <c r="AW54" s="14"/>
      <c r="AX54" s="147"/>
      <c r="AY54" s="14"/>
      <c r="AZ54" s="28" t="str">
        <f t="shared" si="121"/>
        <v/>
      </c>
      <c r="BB54" s="90"/>
      <c r="BD54" s="35"/>
      <c r="BE54" s="14"/>
      <c r="BF54" s="147"/>
      <c r="BG54" s="14"/>
      <c r="BH54" s="28" t="str">
        <f t="shared" si="122"/>
        <v/>
      </c>
      <c r="BJ54" s="90"/>
      <c r="BL54" s="35"/>
      <c r="BM54" s="14"/>
      <c r="BN54" s="147"/>
      <c r="BO54" s="14"/>
      <c r="BP54" s="28" t="str">
        <f t="shared" si="123"/>
        <v/>
      </c>
      <c r="BR54" s="90"/>
      <c r="BT54" s="35"/>
      <c r="BU54" s="14"/>
      <c r="BV54" s="147"/>
      <c r="BW54" s="14"/>
      <c r="BX54" s="28" t="str">
        <f t="shared" si="124"/>
        <v/>
      </c>
      <c r="BZ54" s="90"/>
      <c r="CB54" s="35"/>
      <c r="CC54" s="14"/>
      <c r="CD54" s="147"/>
      <c r="CE54" s="14"/>
      <c r="CF54" s="28" t="str">
        <f t="shared" si="125"/>
        <v/>
      </c>
      <c r="CH54" s="90"/>
      <c r="CJ54" s="35"/>
      <c r="CK54" s="14"/>
      <c r="CL54" s="147"/>
      <c r="CM54" s="14"/>
      <c r="CN54" s="28" t="str">
        <f t="shared" si="126"/>
        <v/>
      </c>
      <c r="CP54" s="90"/>
      <c r="CR54" s="35"/>
      <c r="CS54" s="14"/>
      <c r="CT54" s="147"/>
      <c r="CU54" s="14"/>
      <c r="CV54" s="28" t="str">
        <f t="shared" si="127"/>
        <v/>
      </c>
      <c r="CX54" s="90"/>
    </row>
    <row r="55" spans="2:102" ht="15.6" x14ac:dyDescent="0.3">
      <c r="B55" s="111"/>
      <c r="C55" s="21" t="s">
        <v>93</v>
      </c>
      <c r="D55" s="78" t="e">
        <f t="shared" si="114"/>
        <v>#DIV/0!</v>
      </c>
      <c r="E55" s="130">
        <f t="shared" si="115"/>
        <v>0</v>
      </c>
      <c r="F55" s="73" t="str">
        <f t="shared" si="112"/>
        <v/>
      </c>
      <c r="H55" s="35"/>
      <c r="J55" s="147"/>
      <c r="L55" s="28" t="str">
        <f t="shared" si="116"/>
        <v/>
      </c>
      <c r="N55" s="90" t="str">
        <f t="shared" si="113"/>
        <v/>
      </c>
      <c r="P55" s="35"/>
      <c r="Q55" s="14"/>
      <c r="R55" s="147"/>
      <c r="S55" s="14"/>
      <c r="T55" s="28" t="str">
        <f t="shared" si="117"/>
        <v/>
      </c>
      <c r="V55" s="90"/>
      <c r="X55" s="35"/>
      <c r="Y55" s="14"/>
      <c r="Z55" s="147"/>
      <c r="AA55" s="14"/>
      <c r="AB55" s="28" t="str">
        <f t="shared" si="118"/>
        <v/>
      </c>
      <c r="AC55" s="14"/>
      <c r="AD55" s="90"/>
      <c r="AF55" s="35"/>
      <c r="AG55" s="14"/>
      <c r="AH55" s="147"/>
      <c r="AI55" s="14"/>
      <c r="AJ55" s="28" t="str">
        <f t="shared" si="119"/>
        <v/>
      </c>
      <c r="AL55" s="90"/>
      <c r="AN55" s="35"/>
      <c r="AO55" s="14"/>
      <c r="AP55" s="147"/>
      <c r="AQ55" s="14"/>
      <c r="AR55" s="28" t="str">
        <f t="shared" si="120"/>
        <v/>
      </c>
      <c r="AT55" s="90"/>
      <c r="AV55" s="35"/>
      <c r="AW55" s="14"/>
      <c r="AX55" s="147"/>
      <c r="AY55" s="14"/>
      <c r="AZ55" s="28" t="str">
        <f t="shared" si="121"/>
        <v/>
      </c>
      <c r="BB55" s="90"/>
      <c r="BD55" s="35"/>
      <c r="BE55" s="14"/>
      <c r="BF55" s="147"/>
      <c r="BG55" s="14"/>
      <c r="BH55" s="28" t="str">
        <f t="shared" si="122"/>
        <v/>
      </c>
      <c r="BJ55" s="90"/>
      <c r="BL55" s="35"/>
      <c r="BM55" s="14"/>
      <c r="BN55" s="147"/>
      <c r="BO55" s="14"/>
      <c r="BP55" s="28" t="str">
        <f t="shared" si="123"/>
        <v/>
      </c>
      <c r="BR55" s="90"/>
      <c r="BT55" s="35"/>
      <c r="BU55" s="14"/>
      <c r="BV55" s="147"/>
      <c r="BW55" s="14"/>
      <c r="BX55" s="28" t="str">
        <f t="shared" si="124"/>
        <v/>
      </c>
      <c r="BZ55" s="90"/>
      <c r="CB55" s="35"/>
      <c r="CC55" s="14"/>
      <c r="CD55" s="147"/>
      <c r="CE55" s="14"/>
      <c r="CF55" s="28" t="str">
        <f t="shared" si="125"/>
        <v/>
      </c>
      <c r="CH55" s="90"/>
      <c r="CJ55" s="35"/>
      <c r="CK55" s="14"/>
      <c r="CL55" s="147"/>
      <c r="CM55" s="14"/>
      <c r="CN55" s="28" t="str">
        <f t="shared" si="126"/>
        <v/>
      </c>
      <c r="CP55" s="90"/>
      <c r="CR55" s="35"/>
      <c r="CS55" s="14"/>
      <c r="CT55" s="147"/>
      <c r="CU55" s="14"/>
      <c r="CV55" s="28" t="str">
        <f t="shared" si="127"/>
        <v/>
      </c>
      <c r="CX55" s="90"/>
    </row>
    <row r="56" spans="2:102" ht="15.6" x14ac:dyDescent="0.3">
      <c r="B56" s="111"/>
      <c r="C56" s="21" t="s">
        <v>122</v>
      </c>
      <c r="D56" s="78" t="e">
        <f t="shared" si="114"/>
        <v>#DIV/0!</v>
      </c>
      <c r="E56" s="130">
        <f t="shared" si="115"/>
        <v>0</v>
      </c>
      <c r="F56" s="73" t="str">
        <f t="shared" si="112"/>
        <v/>
      </c>
      <c r="H56" s="35"/>
      <c r="J56" s="147"/>
      <c r="L56" s="28" t="str">
        <f t="shared" si="116"/>
        <v/>
      </c>
      <c r="N56" s="90" t="str">
        <f t="shared" si="113"/>
        <v/>
      </c>
      <c r="P56" s="35"/>
      <c r="Q56" s="14"/>
      <c r="R56" s="147"/>
      <c r="S56" s="14"/>
      <c r="T56" s="28" t="str">
        <f t="shared" si="117"/>
        <v/>
      </c>
      <c r="V56" s="90"/>
      <c r="X56" s="35"/>
      <c r="Y56" s="14"/>
      <c r="Z56" s="147"/>
      <c r="AA56" s="14"/>
      <c r="AB56" s="28" t="str">
        <f t="shared" si="118"/>
        <v/>
      </c>
      <c r="AC56" s="14"/>
      <c r="AD56" s="90"/>
      <c r="AF56" s="35"/>
      <c r="AG56" s="14"/>
      <c r="AH56" s="147"/>
      <c r="AI56" s="14"/>
      <c r="AJ56" s="28" t="str">
        <f t="shared" si="119"/>
        <v/>
      </c>
      <c r="AL56" s="90"/>
      <c r="AN56" s="35"/>
      <c r="AO56" s="14"/>
      <c r="AP56" s="147"/>
      <c r="AQ56" s="14"/>
      <c r="AR56" s="28" t="str">
        <f t="shared" si="120"/>
        <v/>
      </c>
      <c r="AT56" s="90"/>
      <c r="AV56" s="35"/>
      <c r="AW56" s="14"/>
      <c r="AX56" s="147"/>
      <c r="AY56" s="14"/>
      <c r="AZ56" s="28" t="str">
        <f t="shared" si="121"/>
        <v/>
      </c>
      <c r="BB56" s="90"/>
      <c r="BD56" s="35"/>
      <c r="BE56" s="14"/>
      <c r="BF56" s="147"/>
      <c r="BG56" s="14"/>
      <c r="BH56" s="28" t="str">
        <f t="shared" si="122"/>
        <v/>
      </c>
      <c r="BJ56" s="90"/>
      <c r="BL56" s="35"/>
      <c r="BM56" s="14"/>
      <c r="BN56" s="147"/>
      <c r="BO56" s="14"/>
      <c r="BP56" s="28" t="str">
        <f t="shared" si="123"/>
        <v/>
      </c>
      <c r="BR56" s="90"/>
      <c r="BT56" s="35"/>
      <c r="BU56" s="14"/>
      <c r="BV56" s="147"/>
      <c r="BW56" s="14"/>
      <c r="BX56" s="28" t="str">
        <f t="shared" si="124"/>
        <v/>
      </c>
      <c r="BZ56" s="90"/>
      <c r="CB56" s="35"/>
      <c r="CC56" s="14"/>
      <c r="CD56" s="147"/>
      <c r="CE56" s="14"/>
      <c r="CF56" s="28" t="str">
        <f t="shared" si="125"/>
        <v/>
      </c>
      <c r="CH56" s="90"/>
      <c r="CJ56" s="35"/>
      <c r="CK56" s="14"/>
      <c r="CL56" s="147"/>
      <c r="CM56" s="14"/>
      <c r="CN56" s="28" t="str">
        <f t="shared" si="126"/>
        <v/>
      </c>
      <c r="CP56" s="90"/>
      <c r="CR56" s="35"/>
      <c r="CS56" s="14"/>
      <c r="CT56" s="147"/>
      <c r="CU56" s="14"/>
      <c r="CV56" s="28" t="str">
        <f t="shared" si="127"/>
        <v/>
      </c>
      <c r="CX56" s="90"/>
    </row>
    <row r="57" spans="2:102" ht="15.6" x14ac:dyDescent="0.3">
      <c r="B57" s="111"/>
      <c r="C57" s="21" t="s">
        <v>23</v>
      </c>
      <c r="D57" s="78" t="e">
        <f t="shared" si="114"/>
        <v>#DIV/0!</v>
      </c>
      <c r="E57" s="130">
        <f t="shared" si="115"/>
        <v>0</v>
      </c>
      <c r="F57" s="73" t="str">
        <f t="shared" si="112"/>
        <v/>
      </c>
      <c r="H57" s="35"/>
      <c r="J57" s="147"/>
      <c r="L57" s="28" t="str">
        <f t="shared" si="116"/>
        <v/>
      </c>
      <c r="N57" s="90" t="str">
        <f t="shared" si="113"/>
        <v/>
      </c>
      <c r="P57" s="35"/>
      <c r="Q57" s="14"/>
      <c r="R57" s="147"/>
      <c r="S57" s="14"/>
      <c r="T57" s="28" t="str">
        <f t="shared" si="117"/>
        <v/>
      </c>
      <c r="V57" s="90"/>
      <c r="X57" s="35"/>
      <c r="Y57" s="14"/>
      <c r="Z57" s="147"/>
      <c r="AA57" s="14"/>
      <c r="AB57" s="28" t="str">
        <f t="shared" si="118"/>
        <v/>
      </c>
      <c r="AC57" s="14"/>
      <c r="AD57" s="90"/>
      <c r="AF57" s="35"/>
      <c r="AG57" s="14"/>
      <c r="AH57" s="147"/>
      <c r="AI57" s="14"/>
      <c r="AJ57" s="28" t="str">
        <f t="shared" si="119"/>
        <v/>
      </c>
      <c r="AL57" s="90"/>
      <c r="AN57" s="35"/>
      <c r="AO57" s="14"/>
      <c r="AP57" s="147"/>
      <c r="AQ57" s="14"/>
      <c r="AR57" s="28" t="str">
        <f t="shared" si="120"/>
        <v/>
      </c>
      <c r="AT57" s="90"/>
      <c r="AV57" s="35"/>
      <c r="AW57" s="14"/>
      <c r="AX57" s="147"/>
      <c r="AY57" s="14"/>
      <c r="AZ57" s="28" t="str">
        <f t="shared" si="121"/>
        <v/>
      </c>
      <c r="BB57" s="90"/>
      <c r="BD57" s="35"/>
      <c r="BE57" s="14"/>
      <c r="BF57" s="147"/>
      <c r="BG57" s="14"/>
      <c r="BH57" s="28" t="str">
        <f t="shared" si="122"/>
        <v/>
      </c>
      <c r="BJ57" s="90"/>
      <c r="BL57" s="35"/>
      <c r="BM57" s="14"/>
      <c r="BN57" s="147"/>
      <c r="BO57" s="14"/>
      <c r="BP57" s="28" t="str">
        <f t="shared" si="123"/>
        <v/>
      </c>
      <c r="BR57" s="90"/>
      <c r="BT57" s="35"/>
      <c r="BU57" s="14"/>
      <c r="BV57" s="147"/>
      <c r="BW57" s="14"/>
      <c r="BX57" s="28" t="str">
        <f t="shared" si="124"/>
        <v/>
      </c>
      <c r="BZ57" s="90"/>
      <c r="CB57" s="35"/>
      <c r="CC57" s="14"/>
      <c r="CD57" s="147"/>
      <c r="CE57" s="14"/>
      <c r="CF57" s="28" t="str">
        <f t="shared" si="125"/>
        <v/>
      </c>
      <c r="CH57" s="90"/>
      <c r="CJ57" s="35"/>
      <c r="CK57" s="14"/>
      <c r="CL57" s="147"/>
      <c r="CM57" s="14"/>
      <c r="CN57" s="28" t="str">
        <f t="shared" si="126"/>
        <v/>
      </c>
      <c r="CP57" s="90"/>
      <c r="CR57" s="35"/>
      <c r="CS57" s="14"/>
      <c r="CT57" s="147"/>
      <c r="CU57" s="14"/>
      <c r="CV57" s="28" t="str">
        <f t="shared" si="127"/>
        <v/>
      </c>
      <c r="CX57" s="90"/>
    </row>
    <row r="58" spans="2:102" ht="15.6" x14ac:dyDescent="0.3">
      <c r="B58" s="111"/>
      <c r="C58" s="21" t="s">
        <v>120</v>
      </c>
      <c r="D58" s="78" t="e">
        <f t="shared" si="114"/>
        <v>#DIV/0!</v>
      </c>
      <c r="E58" s="130">
        <f t="shared" si="115"/>
        <v>0</v>
      </c>
      <c r="F58" s="73" t="str">
        <f t="shared" si="112"/>
        <v/>
      </c>
      <c r="H58" s="35"/>
      <c r="J58" s="147"/>
      <c r="L58" s="28" t="str">
        <f t="shared" si="116"/>
        <v/>
      </c>
      <c r="N58" s="90" t="str">
        <f t="shared" si="113"/>
        <v/>
      </c>
      <c r="P58" s="35"/>
      <c r="Q58" s="14"/>
      <c r="R58" s="147"/>
      <c r="S58" s="14"/>
      <c r="T58" s="28" t="str">
        <f t="shared" si="117"/>
        <v/>
      </c>
      <c r="V58" s="90"/>
      <c r="X58" s="35"/>
      <c r="Y58" s="14"/>
      <c r="Z58" s="147"/>
      <c r="AA58" s="14"/>
      <c r="AB58" s="28" t="str">
        <f t="shared" si="118"/>
        <v/>
      </c>
      <c r="AC58" s="14"/>
      <c r="AD58" s="90"/>
      <c r="AF58" s="35"/>
      <c r="AG58" s="14"/>
      <c r="AH58" s="147"/>
      <c r="AI58" s="14"/>
      <c r="AJ58" s="28" t="str">
        <f t="shared" si="119"/>
        <v/>
      </c>
      <c r="AL58" s="90"/>
      <c r="AN58" s="35"/>
      <c r="AO58" s="14"/>
      <c r="AP58" s="147"/>
      <c r="AQ58" s="14"/>
      <c r="AR58" s="28" t="str">
        <f t="shared" si="120"/>
        <v/>
      </c>
      <c r="AT58" s="90"/>
      <c r="AV58" s="35"/>
      <c r="AW58" s="14"/>
      <c r="AX58" s="147"/>
      <c r="AY58" s="14"/>
      <c r="AZ58" s="28" t="str">
        <f t="shared" si="121"/>
        <v/>
      </c>
      <c r="BB58" s="90"/>
      <c r="BD58" s="35"/>
      <c r="BE58" s="14"/>
      <c r="BF58" s="147"/>
      <c r="BG58" s="14"/>
      <c r="BH58" s="28" t="str">
        <f t="shared" si="122"/>
        <v/>
      </c>
      <c r="BJ58" s="90"/>
      <c r="BL58" s="35"/>
      <c r="BM58" s="14"/>
      <c r="BN58" s="147"/>
      <c r="BO58" s="14"/>
      <c r="BP58" s="28" t="str">
        <f t="shared" si="123"/>
        <v/>
      </c>
      <c r="BR58" s="90"/>
      <c r="BT58" s="35"/>
      <c r="BU58" s="14"/>
      <c r="BV58" s="147"/>
      <c r="BW58" s="14"/>
      <c r="BX58" s="28" t="str">
        <f t="shared" si="124"/>
        <v/>
      </c>
      <c r="BZ58" s="90"/>
      <c r="CB58" s="35"/>
      <c r="CC58" s="14"/>
      <c r="CD58" s="147"/>
      <c r="CE58" s="14"/>
      <c r="CF58" s="28" t="str">
        <f t="shared" si="125"/>
        <v/>
      </c>
      <c r="CH58" s="90"/>
      <c r="CJ58" s="35"/>
      <c r="CK58" s="14"/>
      <c r="CL58" s="147"/>
      <c r="CM58" s="14"/>
      <c r="CN58" s="28" t="str">
        <f t="shared" si="126"/>
        <v/>
      </c>
      <c r="CP58" s="90"/>
      <c r="CR58" s="35"/>
      <c r="CS58" s="14"/>
      <c r="CT58" s="147"/>
      <c r="CU58" s="14"/>
      <c r="CV58" s="28" t="str">
        <f t="shared" si="127"/>
        <v/>
      </c>
      <c r="CX58" s="90"/>
    </row>
    <row r="59" spans="2:102" ht="15.6" x14ac:dyDescent="0.3">
      <c r="B59" s="111"/>
      <c r="C59" s="21" t="s">
        <v>103</v>
      </c>
      <c r="D59" s="78" t="e">
        <f t="shared" si="114"/>
        <v>#DIV/0!</v>
      </c>
      <c r="E59" s="130">
        <f t="shared" si="115"/>
        <v>0</v>
      </c>
      <c r="F59" s="73" t="str">
        <f t="shared" si="112"/>
        <v/>
      </c>
      <c r="H59" s="35"/>
      <c r="J59" s="147"/>
      <c r="L59" s="28" t="str">
        <f t="shared" si="116"/>
        <v/>
      </c>
      <c r="N59" s="90" t="str">
        <f t="shared" si="113"/>
        <v/>
      </c>
      <c r="P59" s="35"/>
      <c r="Q59" s="14"/>
      <c r="R59" s="147"/>
      <c r="S59" s="14"/>
      <c r="T59" s="28" t="str">
        <f t="shared" si="117"/>
        <v/>
      </c>
      <c r="V59" s="90"/>
      <c r="X59" s="35"/>
      <c r="Y59" s="14"/>
      <c r="Z59" s="147"/>
      <c r="AA59" s="14"/>
      <c r="AB59" s="28" t="str">
        <f t="shared" si="118"/>
        <v/>
      </c>
      <c r="AC59" s="14"/>
      <c r="AD59" s="90"/>
      <c r="AF59" s="35"/>
      <c r="AG59" s="14"/>
      <c r="AH59" s="147"/>
      <c r="AI59" s="14"/>
      <c r="AJ59" s="28" t="str">
        <f t="shared" si="119"/>
        <v/>
      </c>
      <c r="AL59" s="90"/>
      <c r="AN59" s="35"/>
      <c r="AO59" s="14"/>
      <c r="AP59" s="147"/>
      <c r="AQ59" s="14"/>
      <c r="AR59" s="28" t="str">
        <f t="shared" si="120"/>
        <v/>
      </c>
      <c r="AT59" s="90"/>
      <c r="AV59" s="35"/>
      <c r="AW59" s="14"/>
      <c r="AX59" s="147"/>
      <c r="AY59" s="14"/>
      <c r="AZ59" s="28" t="str">
        <f t="shared" si="121"/>
        <v/>
      </c>
      <c r="BB59" s="90"/>
      <c r="BD59" s="35"/>
      <c r="BE59" s="14"/>
      <c r="BF59" s="147"/>
      <c r="BG59" s="14"/>
      <c r="BH59" s="28" t="str">
        <f t="shared" si="122"/>
        <v/>
      </c>
      <c r="BJ59" s="90"/>
      <c r="BL59" s="35"/>
      <c r="BM59" s="14"/>
      <c r="BN59" s="147"/>
      <c r="BO59" s="14"/>
      <c r="BP59" s="28" t="str">
        <f t="shared" si="123"/>
        <v/>
      </c>
      <c r="BR59" s="90"/>
      <c r="BT59" s="35"/>
      <c r="BU59" s="14"/>
      <c r="BV59" s="147"/>
      <c r="BW59" s="14"/>
      <c r="BX59" s="28" t="str">
        <f t="shared" si="124"/>
        <v/>
      </c>
      <c r="BZ59" s="90"/>
      <c r="CB59" s="35"/>
      <c r="CC59" s="14"/>
      <c r="CD59" s="147"/>
      <c r="CE59" s="14"/>
      <c r="CF59" s="28" t="str">
        <f t="shared" si="125"/>
        <v/>
      </c>
      <c r="CH59" s="90"/>
      <c r="CJ59" s="35"/>
      <c r="CK59" s="14"/>
      <c r="CL59" s="147"/>
      <c r="CM59" s="14"/>
      <c r="CN59" s="28" t="str">
        <f t="shared" si="126"/>
        <v/>
      </c>
      <c r="CP59" s="90"/>
      <c r="CR59" s="35"/>
      <c r="CS59" s="14"/>
      <c r="CT59" s="147"/>
      <c r="CU59" s="14"/>
      <c r="CV59" s="28" t="str">
        <f t="shared" si="127"/>
        <v/>
      </c>
      <c r="CX59" s="90"/>
    </row>
    <row r="60" spans="2:102" ht="15.6" x14ac:dyDescent="0.3">
      <c r="B60" s="111"/>
      <c r="C60" s="21" t="s">
        <v>121</v>
      </c>
      <c r="D60" s="78" t="e">
        <f t="shared" si="114"/>
        <v>#DIV/0!</v>
      </c>
      <c r="E60" s="130">
        <f t="shared" si="115"/>
        <v>0</v>
      </c>
      <c r="F60" s="73" t="str">
        <f t="shared" si="112"/>
        <v/>
      </c>
      <c r="H60" s="35"/>
      <c r="J60" s="147"/>
      <c r="L60" s="28" t="str">
        <f t="shared" si="116"/>
        <v/>
      </c>
      <c r="N60" s="90" t="str">
        <f t="shared" si="113"/>
        <v/>
      </c>
      <c r="P60" s="35"/>
      <c r="Q60" s="14"/>
      <c r="R60" s="147"/>
      <c r="S60" s="14"/>
      <c r="T60" s="28" t="str">
        <f t="shared" si="117"/>
        <v/>
      </c>
      <c r="V60" s="90"/>
      <c r="X60" s="35"/>
      <c r="Y60" s="14"/>
      <c r="Z60" s="147"/>
      <c r="AA60" s="14"/>
      <c r="AB60" s="28" t="str">
        <f t="shared" si="118"/>
        <v/>
      </c>
      <c r="AC60" s="14"/>
      <c r="AD60" s="90"/>
      <c r="AF60" s="35"/>
      <c r="AG60" s="14"/>
      <c r="AH60" s="147"/>
      <c r="AI60" s="14"/>
      <c r="AJ60" s="28" t="str">
        <f t="shared" si="119"/>
        <v/>
      </c>
      <c r="AL60" s="90"/>
      <c r="AN60" s="35"/>
      <c r="AO60" s="14"/>
      <c r="AP60" s="147"/>
      <c r="AQ60" s="14"/>
      <c r="AR60" s="28" t="str">
        <f t="shared" si="120"/>
        <v/>
      </c>
      <c r="AT60" s="90"/>
      <c r="AV60" s="35"/>
      <c r="AW60" s="14"/>
      <c r="AX60" s="147"/>
      <c r="AY60" s="14"/>
      <c r="AZ60" s="28" t="str">
        <f t="shared" si="121"/>
        <v/>
      </c>
      <c r="BB60" s="90"/>
      <c r="BD60" s="35"/>
      <c r="BE60" s="14"/>
      <c r="BF60" s="147"/>
      <c r="BG60" s="14"/>
      <c r="BH60" s="28" t="str">
        <f t="shared" si="122"/>
        <v/>
      </c>
      <c r="BJ60" s="90"/>
      <c r="BL60" s="35"/>
      <c r="BM60" s="14"/>
      <c r="BN60" s="147"/>
      <c r="BO60" s="14"/>
      <c r="BP60" s="28" t="str">
        <f t="shared" si="123"/>
        <v/>
      </c>
      <c r="BR60" s="90"/>
      <c r="BT60" s="35"/>
      <c r="BU60" s="14"/>
      <c r="BV60" s="147"/>
      <c r="BW60" s="14"/>
      <c r="BX60" s="28" t="str">
        <f t="shared" si="124"/>
        <v/>
      </c>
      <c r="BZ60" s="90"/>
      <c r="CB60" s="35"/>
      <c r="CC60" s="14"/>
      <c r="CD60" s="147"/>
      <c r="CE60" s="14"/>
      <c r="CF60" s="28" t="str">
        <f t="shared" si="125"/>
        <v/>
      </c>
      <c r="CH60" s="90"/>
      <c r="CJ60" s="35"/>
      <c r="CK60" s="14"/>
      <c r="CL60" s="147"/>
      <c r="CM60" s="14"/>
      <c r="CN60" s="28" t="str">
        <f t="shared" si="126"/>
        <v/>
      </c>
      <c r="CP60" s="90"/>
      <c r="CR60" s="35"/>
      <c r="CS60" s="14"/>
      <c r="CT60" s="147"/>
      <c r="CU60" s="14"/>
      <c r="CV60" s="28" t="str">
        <f t="shared" si="127"/>
        <v/>
      </c>
      <c r="CX60" s="90"/>
    </row>
    <row r="61" spans="2:102" ht="15.6" x14ac:dyDescent="0.3">
      <c r="B61" s="111"/>
      <c r="C61" s="21" t="s">
        <v>24</v>
      </c>
      <c r="D61" s="78" t="e">
        <f t="shared" si="114"/>
        <v>#DIV/0!</v>
      </c>
      <c r="E61" s="130">
        <f t="shared" si="115"/>
        <v>0</v>
      </c>
      <c r="F61" s="73" t="str">
        <f t="shared" si="112"/>
        <v/>
      </c>
      <c r="H61" s="35"/>
      <c r="J61" s="147"/>
      <c r="L61" s="28" t="str">
        <f t="shared" si="116"/>
        <v/>
      </c>
      <c r="N61" s="90" t="str">
        <f t="shared" si="113"/>
        <v/>
      </c>
      <c r="P61" s="35"/>
      <c r="Q61" s="14"/>
      <c r="R61" s="147"/>
      <c r="S61" s="14"/>
      <c r="T61" s="28" t="str">
        <f t="shared" si="117"/>
        <v/>
      </c>
      <c r="V61" s="90"/>
      <c r="X61" s="35"/>
      <c r="Y61" s="14"/>
      <c r="Z61" s="147"/>
      <c r="AA61" s="14"/>
      <c r="AB61" s="28" t="str">
        <f t="shared" si="118"/>
        <v/>
      </c>
      <c r="AC61" s="14"/>
      <c r="AD61" s="90"/>
      <c r="AF61" s="35"/>
      <c r="AG61" s="14"/>
      <c r="AH61" s="147"/>
      <c r="AI61" s="14"/>
      <c r="AJ61" s="28" t="str">
        <f t="shared" si="119"/>
        <v/>
      </c>
      <c r="AL61" s="90"/>
      <c r="AN61" s="35"/>
      <c r="AO61" s="14"/>
      <c r="AP61" s="147"/>
      <c r="AQ61" s="14"/>
      <c r="AR61" s="28" t="str">
        <f t="shared" si="120"/>
        <v/>
      </c>
      <c r="AT61" s="90"/>
      <c r="AV61" s="35"/>
      <c r="AW61" s="14"/>
      <c r="AX61" s="147"/>
      <c r="AY61" s="14"/>
      <c r="AZ61" s="28" t="str">
        <f t="shared" si="121"/>
        <v/>
      </c>
      <c r="BB61" s="90"/>
      <c r="BD61" s="35"/>
      <c r="BE61" s="14"/>
      <c r="BF61" s="147"/>
      <c r="BG61" s="14"/>
      <c r="BH61" s="28" t="str">
        <f t="shared" si="122"/>
        <v/>
      </c>
      <c r="BJ61" s="90"/>
      <c r="BL61" s="35"/>
      <c r="BM61" s="14"/>
      <c r="BN61" s="147"/>
      <c r="BO61" s="14"/>
      <c r="BP61" s="28" t="str">
        <f t="shared" si="123"/>
        <v/>
      </c>
      <c r="BR61" s="90"/>
      <c r="BT61" s="35"/>
      <c r="BU61" s="14"/>
      <c r="BV61" s="147"/>
      <c r="BW61" s="14"/>
      <c r="BX61" s="28" t="str">
        <f t="shared" si="124"/>
        <v/>
      </c>
      <c r="BZ61" s="90"/>
      <c r="CB61" s="35"/>
      <c r="CC61" s="14"/>
      <c r="CD61" s="147"/>
      <c r="CE61" s="14"/>
      <c r="CF61" s="28" t="str">
        <f t="shared" si="125"/>
        <v/>
      </c>
      <c r="CH61" s="90"/>
      <c r="CJ61" s="35"/>
      <c r="CK61" s="14"/>
      <c r="CL61" s="147"/>
      <c r="CM61" s="14"/>
      <c r="CN61" s="28" t="str">
        <f t="shared" si="126"/>
        <v/>
      </c>
      <c r="CP61" s="90"/>
      <c r="CR61" s="35"/>
      <c r="CS61" s="14"/>
      <c r="CT61" s="147"/>
      <c r="CU61" s="14"/>
      <c r="CV61" s="28" t="str">
        <f t="shared" si="127"/>
        <v/>
      </c>
      <c r="CX61" s="90"/>
    </row>
    <row r="62" spans="2:102" ht="15.6" x14ac:dyDescent="0.3">
      <c r="B62" s="111"/>
      <c r="C62" s="21" t="s">
        <v>25</v>
      </c>
      <c r="D62" s="78" t="e">
        <f t="shared" si="114"/>
        <v>#DIV/0!</v>
      </c>
      <c r="E62" s="130">
        <f t="shared" si="115"/>
        <v>0</v>
      </c>
      <c r="F62" s="73" t="str">
        <f t="shared" si="112"/>
        <v/>
      </c>
      <c r="H62" s="35"/>
      <c r="J62" s="147"/>
      <c r="L62" s="28" t="str">
        <f t="shared" si="116"/>
        <v/>
      </c>
      <c r="N62" s="90" t="str">
        <f t="shared" si="113"/>
        <v/>
      </c>
      <c r="P62" s="35"/>
      <c r="Q62" s="14"/>
      <c r="R62" s="147"/>
      <c r="S62" s="14"/>
      <c r="T62" s="28" t="str">
        <f t="shared" si="117"/>
        <v/>
      </c>
      <c r="V62" s="90"/>
      <c r="X62" s="35"/>
      <c r="Y62" s="14"/>
      <c r="Z62" s="147"/>
      <c r="AA62" s="14"/>
      <c r="AB62" s="28" t="str">
        <f t="shared" si="118"/>
        <v/>
      </c>
      <c r="AC62" s="14"/>
      <c r="AD62" s="90"/>
      <c r="AF62" s="35"/>
      <c r="AG62" s="14"/>
      <c r="AH62" s="147"/>
      <c r="AI62" s="14"/>
      <c r="AJ62" s="28" t="str">
        <f t="shared" si="119"/>
        <v/>
      </c>
      <c r="AL62" s="90"/>
      <c r="AN62" s="35"/>
      <c r="AO62" s="14"/>
      <c r="AP62" s="147"/>
      <c r="AQ62" s="14"/>
      <c r="AR62" s="28" t="str">
        <f t="shared" si="120"/>
        <v/>
      </c>
      <c r="AT62" s="90"/>
      <c r="AV62" s="35"/>
      <c r="AW62" s="14"/>
      <c r="AX62" s="147"/>
      <c r="AY62" s="14"/>
      <c r="AZ62" s="28" t="str">
        <f t="shared" si="121"/>
        <v/>
      </c>
      <c r="BB62" s="90"/>
      <c r="BD62" s="35"/>
      <c r="BE62" s="14"/>
      <c r="BF62" s="147"/>
      <c r="BG62" s="14"/>
      <c r="BH62" s="28" t="str">
        <f t="shared" si="122"/>
        <v/>
      </c>
      <c r="BJ62" s="90"/>
      <c r="BL62" s="35"/>
      <c r="BM62" s="14"/>
      <c r="BN62" s="147"/>
      <c r="BO62" s="14"/>
      <c r="BP62" s="28" t="str">
        <f t="shared" si="123"/>
        <v/>
      </c>
      <c r="BR62" s="90"/>
      <c r="BT62" s="35"/>
      <c r="BU62" s="14"/>
      <c r="BV62" s="147"/>
      <c r="BW62" s="14"/>
      <c r="BX62" s="28" t="str">
        <f t="shared" si="124"/>
        <v/>
      </c>
      <c r="BZ62" s="90"/>
      <c r="CB62" s="35"/>
      <c r="CC62" s="14"/>
      <c r="CD62" s="147"/>
      <c r="CE62" s="14"/>
      <c r="CF62" s="28" t="str">
        <f t="shared" si="125"/>
        <v/>
      </c>
      <c r="CH62" s="90"/>
      <c r="CJ62" s="35"/>
      <c r="CK62" s="14"/>
      <c r="CL62" s="147"/>
      <c r="CM62" s="14"/>
      <c r="CN62" s="28" t="str">
        <f t="shared" si="126"/>
        <v/>
      </c>
      <c r="CP62" s="90"/>
      <c r="CR62" s="35"/>
      <c r="CS62" s="14"/>
      <c r="CT62" s="147"/>
      <c r="CU62" s="14"/>
      <c r="CV62" s="28" t="str">
        <f t="shared" si="127"/>
        <v/>
      </c>
      <c r="CX62" s="90"/>
    </row>
    <row r="63" spans="2:102" ht="15.6" x14ac:dyDescent="0.3">
      <c r="B63" s="111"/>
      <c r="C63" s="21" t="s">
        <v>26</v>
      </c>
      <c r="D63" s="78" t="e">
        <f t="shared" si="114"/>
        <v>#DIV/0!</v>
      </c>
      <c r="E63" s="130">
        <f t="shared" si="115"/>
        <v>0</v>
      </c>
      <c r="F63" s="73" t="str">
        <f t="shared" si="112"/>
        <v/>
      </c>
      <c r="H63" s="35"/>
      <c r="J63" s="147"/>
      <c r="L63" s="28" t="str">
        <f t="shared" si="116"/>
        <v/>
      </c>
      <c r="N63" s="90" t="str">
        <f t="shared" si="113"/>
        <v/>
      </c>
      <c r="P63" s="35"/>
      <c r="Q63" s="14"/>
      <c r="R63" s="147"/>
      <c r="S63" s="14"/>
      <c r="T63" s="28" t="str">
        <f t="shared" si="117"/>
        <v/>
      </c>
      <c r="V63" s="90"/>
      <c r="X63" s="35"/>
      <c r="Y63" s="14"/>
      <c r="Z63" s="147"/>
      <c r="AA63" s="14"/>
      <c r="AB63" s="28" t="str">
        <f t="shared" si="118"/>
        <v/>
      </c>
      <c r="AC63" s="14"/>
      <c r="AD63" s="90"/>
      <c r="AF63" s="35"/>
      <c r="AG63" s="14"/>
      <c r="AH63" s="147"/>
      <c r="AI63" s="14"/>
      <c r="AJ63" s="28" t="str">
        <f t="shared" si="119"/>
        <v/>
      </c>
      <c r="AL63" s="90"/>
      <c r="AN63" s="35"/>
      <c r="AO63" s="14"/>
      <c r="AP63" s="147"/>
      <c r="AQ63" s="14"/>
      <c r="AR63" s="28" t="str">
        <f t="shared" si="120"/>
        <v/>
      </c>
      <c r="AT63" s="90"/>
      <c r="AV63" s="35"/>
      <c r="AW63" s="14"/>
      <c r="AX63" s="147"/>
      <c r="AY63" s="14"/>
      <c r="AZ63" s="28" t="str">
        <f t="shared" si="121"/>
        <v/>
      </c>
      <c r="BB63" s="90"/>
      <c r="BD63" s="35"/>
      <c r="BE63" s="14"/>
      <c r="BF63" s="147"/>
      <c r="BG63" s="14"/>
      <c r="BH63" s="28" t="str">
        <f t="shared" si="122"/>
        <v/>
      </c>
      <c r="BJ63" s="90"/>
      <c r="BL63" s="35"/>
      <c r="BM63" s="14"/>
      <c r="BN63" s="147"/>
      <c r="BO63" s="14"/>
      <c r="BP63" s="28" t="str">
        <f t="shared" si="123"/>
        <v/>
      </c>
      <c r="BR63" s="90"/>
      <c r="BT63" s="35"/>
      <c r="BU63" s="14"/>
      <c r="BV63" s="147"/>
      <c r="BW63" s="14"/>
      <c r="BX63" s="28" t="str">
        <f t="shared" si="124"/>
        <v/>
      </c>
      <c r="BZ63" s="90"/>
      <c r="CB63" s="35"/>
      <c r="CC63" s="14"/>
      <c r="CD63" s="147"/>
      <c r="CE63" s="14"/>
      <c r="CF63" s="28" t="str">
        <f t="shared" si="125"/>
        <v/>
      </c>
      <c r="CH63" s="90"/>
      <c r="CJ63" s="35"/>
      <c r="CK63" s="14"/>
      <c r="CL63" s="147"/>
      <c r="CM63" s="14"/>
      <c r="CN63" s="28" t="str">
        <f t="shared" si="126"/>
        <v/>
      </c>
      <c r="CP63" s="90"/>
      <c r="CR63" s="35"/>
      <c r="CS63" s="14"/>
      <c r="CT63" s="147"/>
      <c r="CU63" s="14"/>
      <c r="CV63" s="28" t="str">
        <f t="shared" si="127"/>
        <v/>
      </c>
      <c r="CX63" s="90"/>
    </row>
    <row r="64" spans="2:102" ht="15.6" x14ac:dyDescent="0.3">
      <c r="B64" s="111"/>
      <c r="C64" s="21" t="s">
        <v>101</v>
      </c>
      <c r="D64" s="78" t="e">
        <f t="shared" si="114"/>
        <v>#DIV/0!</v>
      </c>
      <c r="E64" s="130">
        <f t="shared" si="115"/>
        <v>0</v>
      </c>
      <c r="F64" s="73" t="str">
        <f t="shared" si="112"/>
        <v/>
      </c>
      <c r="H64" s="35"/>
      <c r="J64" s="147"/>
      <c r="L64" s="28" t="str">
        <f t="shared" si="116"/>
        <v/>
      </c>
      <c r="N64" s="90" t="str">
        <f t="shared" si="113"/>
        <v/>
      </c>
      <c r="P64" s="35"/>
      <c r="Q64" s="14"/>
      <c r="R64" s="147"/>
      <c r="S64" s="14"/>
      <c r="T64" s="28" t="str">
        <f t="shared" si="117"/>
        <v/>
      </c>
      <c r="V64" s="90"/>
      <c r="X64" s="35"/>
      <c r="Y64" s="14"/>
      <c r="Z64" s="147"/>
      <c r="AA64" s="14"/>
      <c r="AB64" s="28" t="str">
        <f t="shared" si="118"/>
        <v/>
      </c>
      <c r="AC64" s="14"/>
      <c r="AD64" s="90"/>
      <c r="AF64" s="35"/>
      <c r="AG64" s="14"/>
      <c r="AH64" s="147"/>
      <c r="AI64" s="14"/>
      <c r="AJ64" s="28" t="str">
        <f t="shared" si="119"/>
        <v/>
      </c>
      <c r="AL64" s="90"/>
      <c r="AN64" s="35"/>
      <c r="AO64" s="14"/>
      <c r="AP64" s="147"/>
      <c r="AQ64" s="14"/>
      <c r="AR64" s="28" t="str">
        <f t="shared" si="120"/>
        <v/>
      </c>
      <c r="AT64" s="90"/>
      <c r="AV64" s="35"/>
      <c r="AW64" s="14"/>
      <c r="AX64" s="147"/>
      <c r="AY64" s="14"/>
      <c r="AZ64" s="28" t="str">
        <f t="shared" si="121"/>
        <v/>
      </c>
      <c r="BB64" s="90"/>
      <c r="BD64" s="35"/>
      <c r="BE64" s="14"/>
      <c r="BF64" s="147"/>
      <c r="BG64" s="14"/>
      <c r="BH64" s="28" t="str">
        <f t="shared" si="122"/>
        <v/>
      </c>
      <c r="BJ64" s="90"/>
      <c r="BL64" s="35"/>
      <c r="BM64" s="14"/>
      <c r="BN64" s="147"/>
      <c r="BO64" s="14"/>
      <c r="BP64" s="28" t="str">
        <f t="shared" si="123"/>
        <v/>
      </c>
      <c r="BR64" s="90"/>
      <c r="BT64" s="35"/>
      <c r="BU64" s="14"/>
      <c r="BV64" s="147"/>
      <c r="BW64" s="14"/>
      <c r="BX64" s="28" t="str">
        <f t="shared" si="124"/>
        <v/>
      </c>
      <c r="BZ64" s="90"/>
      <c r="CB64" s="35"/>
      <c r="CC64" s="14"/>
      <c r="CD64" s="147"/>
      <c r="CE64" s="14"/>
      <c r="CF64" s="28" t="str">
        <f t="shared" si="125"/>
        <v/>
      </c>
      <c r="CH64" s="90"/>
      <c r="CJ64" s="35"/>
      <c r="CK64" s="14"/>
      <c r="CL64" s="147"/>
      <c r="CM64" s="14"/>
      <c r="CN64" s="28" t="str">
        <f t="shared" si="126"/>
        <v/>
      </c>
      <c r="CP64" s="90"/>
      <c r="CR64" s="35"/>
      <c r="CS64" s="14"/>
      <c r="CT64" s="147"/>
      <c r="CU64" s="14"/>
      <c r="CV64" s="28" t="str">
        <f t="shared" si="127"/>
        <v/>
      </c>
      <c r="CX64" s="90"/>
    </row>
    <row r="65" spans="2:102" ht="15.6" x14ac:dyDescent="0.3">
      <c r="B65" s="111"/>
      <c r="C65" s="21" t="s">
        <v>100</v>
      </c>
      <c r="D65" s="78" t="e">
        <f t="shared" si="114"/>
        <v>#DIV/0!</v>
      </c>
      <c r="E65" s="130">
        <f t="shared" si="115"/>
        <v>0</v>
      </c>
      <c r="F65" s="73" t="str">
        <f t="shared" si="112"/>
        <v/>
      </c>
      <c r="H65" s="35"/>
      <c r="J65" s="147"/>
      <c r="L65" s="28" t="str">
        <f t="shared" si="116"/>
        <v/>
      </c>
      <c r="N65" s="90" t="str">
        <f t="shared" si="113"/>
        <v/>
      </c>
      <c r="P65" s="35"/>
      <c r="Q65" s="14"/>
      <c r="R65" s="147"/>
      <c r="S65" s="14"/>
      <c r="T65" s="28" t="str">
        <f t="shared" si="117"/>
        <v/>
      </c>
      <c r="V65" s="90"/>
      <c r="X65" s="35"/>
      <c r="Y65" s="14"/>
      <c r="Z65" s="147"/>
      <c r="AA65" s="14"/>
      <c r="AB65" s="28" t="str">
        <f t="shared" si="118"/>
        <v/>
      </c>
      <c r="AC65" s="14"/>
      <c r="AD65" s="90"/>
      <c r="AF65" s="35"/>
      <c r="AG65" s="14"/>
      <c r="AH65" s="147"/>
      <c r="AI65" s="14"/>
      <c r="AJ65" s="28" t="str">
        <f t="shared" si="119"/>
        <v/>
      </c>
      <c r="AL65" s="90"/>
      <c r="AN65" s="35"/>
      <c r="AO65" s="14"/>
      <c r="AP65" s="147"/>
      <c r="AQ65" s="14"/>
      <c r="AR65" s="28" t="str">
        <f t="shared" si="120"/>
        <v/>
      </c>
      <c r="AT65" s="90"/>
      <c r="AV65" s="35"/>
      <c r="AW65" s="14"/>
      <c r="AX65" s="147"/>
      <c r="AY65" s="14"/>
      <c r="AZ65" s="28" t="str">
        <f t="shared" si="121"/>
        <v/>
      </c>
      <c r="BB65" s="90"/>
      <c r="BD65" s="35"/>
      <c r="BE65" s="14"/>
      <c r="BF65" s="147"/>
      <c r="BG65" s="14"/>
      <c r="BH65" s="28" t="str">
        <f t="shared" si="122"/>
        <v/>
      </c>
      <c r="BJ65" s="90"/>
      <c r="BL65" s="35"/>
      <c r="BM65" s="14"/>
      <c r="BN65" s="147"/>
      <c r="BO65" s="14"/>
      <c r="BP65" s="28" t="str">
        <f t="shared" si="123"/>
        <v/>
      </c>
      <c r="BR65" s="90"/>
      <c r="BT65" s="35"/>
      <c r="BU65" s="14"/>
      <c r="BV65" s="147"/>
      <c r="BW65" s="14"/>
      <c r="BX65" s="28" t="str">
        <f t="shared" si="124"/>
        <v/>
      </c>
      <c r="BZ65" s="90"/>
      <c r="CB65" s="35"/>
      <c r="CC65" s="14"/>
      <c r="CD65" s="147"/>
      <c r="CE65" s="14"/>
      <c r="CF65" s="28" t="str">
        <f t="shared" si="125"/>
        <v/>
      </c>
      <c r="CH65" s="90"/>
      <c r="CJ65" s="35"/>
      <c r="CK65" s="14"/>
      <c r="CL65" s="147"/>
      <c r="CM65" s="14"/>
      <c r="CN65" s="28" t="str">
        <f t="shared" si="126"/>
        <v/>
      </c>
      <c r="CP65" s="90"/>
      <c r="CR65" s="35"/>
      <c r="CS65" s="14"/>
      <c r="CT65" s="147"/>
      <c r="CU65" s="14"/>
      <c r="CV65" s="28" t="str">
        <f t="shared" si="127"/>
        <v/>
      </c>
      <c r="CX65" s="90"/>
    </row>
    <row r="66" spans="2:102" ht="15.6" x14ac:dyDescent="0.3">
      <c r="B66" s="111"/>
      <c r="C66" s="21" t="s">
        <v>37</v>
      </c>
      <c r="D66" s="78" t="e">
        <f t="shared" si="114"/>
        <v>#DIV/0!</v>
      </c>
      <c r="E66" s="130">
        <f t="shared" si="115"/>
        <v>0</v>
      </c>
      <c r="F66" s="73" t="str">
        <f t="shared" si="112"/>
        <v/>
      </c>
      <c r="H66" s="35"/>
      <c r="J66" s="147"/>
      <c r="L66" s="28" t="str">
        <f t="shared" si="116"/>
        <v/>
      </c>
      <c r="N66" s="90" t="str">
        <f t="shared" si="113"/>
        <v/>
      </c>
      <c r="P66" s="35"/>
      <c r="Q66" s="14"/>
      <c r="R66" s="147"/>
      <c r="S66" s="14"/>
      <c r="T66" s="28" t="str">
        <f t="shared" si="117"/>
        <v/>
      </c>
      <c r="V66" s="90"/>
      <c r="X66" s="35"/>
      <c r="Y66" s="14"/>
      <c r="Z66" s="147"/>
      <c r="AA66" s="14"/>
      <c r="AB66" s="28" t="str">
        <f t="shared" si="118"/>
        <v/>
      </c>
      <c r="AC66" s="14"/>
      <c r="AD66" s="90"/>
      <c r="AF66" s="35"/>
      <c r="AG66" s="14"/>
      <c r="AH66" s="147"/>
      <c r="AI66" s="14"/>
      <c r="AJ66" s="28" t="str">
        <f t="shared" si="119"/>
        <v/>
      </c>
      <c r="AL66" s="90"/>
      <c r="AN66" s="35"/>
      <c r="AO66" s="14"/>
      <c r="AP66" s="147"/>
      <c r="AQ66" s="14"/>
      <c r="AR66" s="28" t="str">
        <f t="shared" si="120"/>
        <v/>
      </c>
      <c r="AT66" s="90"/>
      <c r="AV66" s="35"/>
      <c r="AW66" s="14"/>
      <c r="AX66" s="147"/>
      <c r="AY66" s="14"/>
      <c r="AZ66" s="28" t="str">
        <f t="shared" si="121"/>
        <v/>
      </c>
      <c r="BB66" s="90"/>
      <c r="BD66" s="35"/>
      <c r="BE66" s="14"/>
      <c r="BF66" s="147"/>
      <c r="BG66" s="14"/>
      <c r="BH66" s="28" t="str">
        <f t="shared" si="122"/>
        <v/>
      </c>
      <c r="BJ66" s="90"/>
      <c r="BL66" s="35"/>
      <c r="BM66" s="14"/>
      <c r="BN66" s="147"/>
      <c r="BO66" s="14"/>
      <c r="BP66" s="28" t="str">
        <f t="shared" si="123"/>
        <v/>
      </c>
      <c r="BR66" s="90"/>
      <c r="BT66" s="35"/>
      <c r="BU66" s="14"/>
      <c r="BV66" s="147"/>
      <c r="BW66" s="14"/>
      <c r="BX66" s="28" t="str">
        <f t="shared" si="124"/>
        <v/>
      </c>
      <c r="BZ66" s="90"/>
      <c r="CB66" s="35"/>
      <c r="CC66" s="14"/>
      <c r="CD66" s="147"/>
      <c r="CE66" s="14"/>
      <c r="CF66" s="28" t="str">
        <f t="shared" si="125"/>
        <v/>
      </c>
      <c r="CH66" s="90"/>
      <c r="CJ66" s="35"/>
      <c r="CK66" s="14"/>
      <c r="CL66" s="147"/>
      <c r="CM66" s="14"/>
      <c r="CN66" s="28" t="str">
        <f t="shared" si="126"/>
        <v/>
      </c>
      <c r="CP66" s="90"/>
      <c r="CR66" s="35"/>
      <c r="CS66" s="14"/>
      <c r="CT66" s="147"/>
      <c r="CU66" s="14"/>
      <c r="CV66" s="28" t="str">
        <f t="shared" si="127"/>
        <v/>
      </c>
      <c r="CX66" s="90"/>
    </row>
    <row r="67" spans="2:102" ht="15.6" x14ac:dyDescent="0.3">
      <c r="B67" s="111"/>
      <c r="C67" s="21" t="s">
        <v>27</v>
      </c>
      <c r="D67" s="78" t="e">
        <f t="shared" si="114"/>
        <v>#DIV/0!</v>
      </c>
      <c r="E67" s="130">
        <f t="shared" si="115"/>
        <v>0</v>
      </c>
      <c r="F67" s="73" t="str">
        <f t="shared" si="112"/>
        <v/>
      </c>
      <c r="H67" s="35"/>
      <c r="J67" s="147"/>
      <c r="L67" s="28" t="str">
        <f t="shared" si="116"/>
        <v/>
      </c>
      <c r="N67" s="90" t="str">
        <f t="shared" si="113"/>
        <v/>
      </c>
      <c r="P67" s="35"/>
      <c r="Q67" s="14"/>
      <c r="R67" s="147"/>
      <c r="S67" s="14"/>
      <c r="T67" s="28" t="str">
        <f t="shared" si="117"/>
        <v/>
      </c>
      <c r="V67" s="90"/>
      <c r="X67" s="35"/>
      <c r="Y67" s="14"/>
      <c r="Z67" s="147"/>
      <c r="AA67" s="14"/>
      <c r="AB67" s="28" t="str">
        <f t="shared" si="118"/>
        <v/>
      </c>
      <c r="AC67" s="14"/>
      <c r="AD67" s="90"/>
      <c r="AF67" s="35"/>
      <c r="AG67" s="14"/>
      <c r="AH67" s="147"/>
      <c r="AI67" s="14"/>
      <c r="AJ67" s="28" t="str">
        <f t="shared" si="119"/>
        <v/>
      </c>
      <c r="AL67" s="90"/>
      <c r="AN67" s="35"/>
      <c r="AO67" s="14"/>
      <c r="AP67" s="147"/>
      <c r="AQ67" s="14"/>
      <c r="AR67" s="28" t="str">
        <f t="shared" si="120"/>
        <v/>
      </c>
      <c r="AT67" s="90"/>
      <c r="AV67" s="35"/>
      <c r="AW67" s="14"/>
      <c r="AX67" s="147"/>
      <c r="AY67" s="14"/>
      <c r="AZ67" s="28" t="str">
        <f t="shared" si="121"/>
        <v/>
      </c>
      <c r="BB67" s="90"/>
      <c r="BD67" s="35"/>
      <c r="BE67" s="14"/>
      <c r="BF67" s="147"/>
      <c r="BG67" s="14"/>
      <c r="BH67" s="28" t="str">
        <f t="shared" si="122"/>
        <v/>
      </c>
      <c r="BJ67" s="90"/>
      <c r="BL67" s="35"/>
      <c r="BM67" s="14"/>
      <c r="BN67" s="147"/>
      <c r="BO67" s="14"/>
      <c r="BP67" s="28" t="str">
        <f t="shared" si="123"/>
        <v/>
      </c>
      <c r="BR67" s="90"/>
      <c r="BT67" s="35"/>
      <c r="BU67" s="14"/>
      <c r="BV67" s="147"/>
      <c r="BW67" s="14"/>
      <c r="BX67" s="28" t="str">
        <f t="shared" si="124"/>
        <v/>
      </c>
      <c r="BZ67" s="90"/>
      <c r="CB67" s="35"/>
      <c r="CC67" s="14"/>
      <c r="CD67" s="147"/>
      <c r="CE67" s="14"/>
      <c r="CF67" s="28" t="str">
        <f t="shared" si="125"/>
        <v/>
      </c>
      <c r="CH67" s="90"/>
      <c r="CJ67" s="35"/>
      <c r="CK67" s="14"/>
      <c r="CL67" s="147"/>
      <c r="CM67" s="14"/>
      <c r="CN67" s="28" t="str">
        <f t="shared" si="126"/>
        <v/>
      </c>
      <c r="CP67" s="90"/>
      <c r="CR67" s="35"/>
      <c r="CS67" s="14"/>
      <c r="CT67" s="147"/>
      <c r="CU67" s="14"/>
      <c r="CV67" s="28" t="str">
        <f t="shared" si="127"/>
        <v/>
      </c>
      <c r="CX67" s="90"/>
    </row>
    <row r="68" spans="2:102" ht="15.6" x14ac:dyDescent="0.3">
      <c r="B68" s="111"/>
      <c r="C68" s="21" t="s">
        <v>38</v>
      </c>
      <c r="D68" s="78" t="e">
        <f t="shared" si="114"/>
        <v>#DIV/0!</v>
      </c>
      <c r="E68" s="130">
        <f t="shared" si="115"/>
        <v>0</v>
      </c>
      <c r="F68" s="73" t="str">
        <f t="shared" si="112"/>
        <v/>
      </c>
      <c r="H68" s="35"/>
      <c r="J68" s="147"/>
      <c r="L68" s="28" t="str">
        <f t="shared" si="116"/>
        <v/>
      </c>
      <c r="N68" s="90" t="str">
        <f t="shared" si="113"/>
        <v/>
      </c>
      <c r="P68" s="35"/>
      <c r="Q68" s="14"/>
      <c r="R68" s="147"/>
      <c r="S68" s="14"/>
      <c r="T68" s="28" t="str">
        <f t="shared" si="117"/>
        <v/>
      </c>
      <c r="V68" s="90"/>
      <c r="X68" s="35"/>
      <c r="Y68" s="14"/>
      <c r="Z68" s="147"/>
      <c r="AA68" s="14"/>
      <c r="AB68" s="28" t="str">
        <f t="shared" si="118"/>
        <v/>
      </c>
      <c r="AC68" s="14"/>
      <c r="AD68" s="90"/>
      <c r="AF68" s="35"/>
      <c r="AG68" s="14"/>
      <c r="AH68" s="147"/>
      <c r="AI68" s="14"/>
      <c r="AJ68" s="28" t="str">
        <f t="shared" si="119"/>
        <v/>
      </c>
      <c r="AL68" s="90"/>
      <c r="AN68" s="35"/>
      <c r="AO68" s="14"/>
      <c r="AP68" s="147"/>
      <c r="AQ68" s="14"/>
      <c r="AR68" s="28" t="str">
        <f t="shared" si="120"/>
        <v/>
      </c>
      <c r="AT68" s="90"/>
      <c r="AV68" s="35"/>
      <c r="AW68" s="14"/>
      <c r="AX68" s="147"/>
      <c r="AY68" s="14"/>
      <c r="AZ68" s="28" t="str">
        <f t="shared" si="121"/>
        <v/>
      </c>
      <c r="BB68" s="90"/>
      <c r="BD68" s="35"/>
      <c r="BE68" s="14"/>
      <c r="BF68" s="147"/>
      <c r="BG68" s="14"/>
      <c r="BH68" s="28" t="str">
        <f t="shared" si="122"/>
        <v/>
      </c>
      <c r="BJ68" s="90"/>
      <c r="BL68" s="35"/>
      <c r="BM68" s="14"/>
      <c r="BN68" s="147"/>
      <c r="BO68" s="14"/>
      <c r="BP68" s="28" t="str">
        <f t="shared" si="123"/>
        <v/>
      </c>
      <c r="BR68" s="90"/>
      <c r="BT68" s="35"/>
      <c r="BU68" s="14"/>
      <c r="BV68" s="147"/>
      <c r="BW68" s="14"/>
      <c r="BX68" s="28" t="str">
        <f t="shared" si="124"/>
        <v/>
      </c>
      <c r="BZ68" s="90"/>
      <c r="CB68" s="35"/>
      <c r="CC68" s="14"/>
      <c r="CD68" s="147"/>
      <c r="CE68" s="14"/>
      <c r="CF68" s="28" t="str">
        <f t="shared" si="125"/>
        <v/>
      </c>
      <c r="CH68" s="90"/>
      <c r="CJ68" s="35"/>
      <c r="CK68" s="14"/>
      <c r="CL68" s="147"/>
      <c r="CM68" s="14"/>
      <c r="CN68" s="28" t="str">
        <f t="shared" si="126"/>
        <v/>
      </c>
      <c r="CP68" s="90"/>
      <c r="CR68" s="35"/>
      <c r="CS68" s="14"/>
      <c r="CT68" s="147"/>
      <c r="CU68" s="14"/>
      <c r="CV68" s="28" t="str">
        <f t="shared" si="127"/>
        <v/>
      </c>
      <c r="CX68" s="90"/>
    </row>
    <row r="69" spans="2:102" ht="15.6" x14ac:dyDescent="0.3">
      <c r="B69" s="111"/>
      <c r="C69" s="21" t="s">
        <v>114</v>
      </c>
      <c r="D69" s="78" t="e">
        <f t="shared" si="114"/>
        <v>#DIV/0!</v>
      </c>
      <c r="E69" s="130">
        <f t="shared" si="115"/>
        <v>0</v>
      </c>
      <c r="F69" s="73" t="str">
        <f t="shared" si="112"/>
        <v/>
      </c>
      <c r="H69" s="35"/>
      <c r="J69" s="147"/>
      <c r="L69" s="28" t="str">
        <f t="shared" si="116"/>
        <v/>
      </c>
      <c r="N69" s="90" t="str">
        <f t="shared" si="113"/>
        <v/>
      </c>
      <c r="P69" s="35"/>
      <c r="Q69" s="14"/>
      <c r="R69" s="147"/>
      <c r="S69" s="14"/>
      <c r="T69" s="28" t="str">
        <f t="shared" si="117"/>
        <v/>
      </c>
      <c r="V69" s="90"/>
      <c r="X69" s="35"/>
      <c r="Y69" s="14"/>
      <c r="Z69" s="147"/>
      <c r="AA69" s="14"/>
      <c r="AB69" s="28" t="str">
        <f t="shared" si="118"/>
        <v/>
      </c>
      <c r="AC69" s="14"/>
      <c r="AD69" s="90"/>
      <c r="AF69" s="35"/>
      <c r="AG69" s="14"/>
      <c r="AH69" s="147"/>
      <c r="AI69" s="14"/>
      <c r="AJ69" s="28" t="str">
        <f t="shared" si="119"/>
        <v/>
      </c>
      <c r="AL69" s="90"/>
      <c r="AN69" s="35"/>
      <c r="AO69" s="14"/>
      <c r="AP69" s="147"/>
      <c r="AQ69" s="14"/>
      <c r="AR69" s="28" t="str">
        <f t="shared" si="120"/>
        <v/>
      </c>
      <c r="AT69" s="90"/>
      <c r="AV69" s="35"/>
      <c r="AW69" s="14"/>
      <c r="AX69" s="147"/>
      <c r="AY69" s="14"/>
      <c r="AZ69" s="28" t="str">
        <f t="shared" si="121"/>
        <v/>
      </c>
      <c r="BB69" s="90"/>
      <c r="BD69" s="35"/>
      <c r="BE69" s="14"/>
      <c r="BF69" s="147"/>
      <c r="BG69" s="14"/>
      <c r="BH69" s="28" t="str">
        <f t="shared" si="122"/>
        <v/>
      </c>
      <c r="BJ69" s="90"/>
      <c r="BL69" s="35"/>
      <c r="BM69" s="14"/>
      <c r="BN69" s="147"/>
      <c r="BO69" s="14"/>
      <c r="BP69" s="28" t="str">
        <f t="shared" si="123"/>
        <v/>
      </c>
      <c r="BR69" s="90"/>
      <c r="BT69" s="35"/>
      <c r="BU69" s="14"/>
      <c r="BV69" s="147"/>
      <c r="BW69" s="14"/>
      <c r="BX69" s="28" t="str">
        <f t="shared" si="124"/>
        <v/>
      </c>
      <c r="BZ69" s="90"/>
      <c r="CB69" s="35"/>
      <c r="CC69" s="14"/>
      <c r="CD69" s="147"/>
      <c r="CE69" s="14"/>
      <c r="CF69" s="28" t="str">
        <f t="shared" si="125"/>
        <v/>
      </c>
      <c r="CH69" s="90"/>
      <c r="CJ69" s="35"/>
      <c r="CK69" s="14"/>
      <c r="CL69" s="147"/>
      <c r="CM69" s="14"/>
      <c r="CN69" s="28" t="str">
        <f t="shared" si="126"/>
        <v/>
      </c>
      <c r="CP69" s="90"/>
      <c r="CR69" s="35"/>
      <c r="CS69" s="14"/>
      <c r="CT69" s="147"/>
      <c r="CU69" s="14"/>
      <c r="CV69" s="28" t="str">
        <f t="shared" si="127"/>
        <v/>
      </c>
      <c r="CX69" s="90"/>
    </row>
    <row r="70" spans="2:102" ht="15.6" x14ac:dyDescent="0.3">
      <c r="B70" s="111"/>
      <c r="C70" s="21" t="s">
        <v>104</v>
      </c>
      <c r="D70" s="78" t="e">
        <f t="shared" si="114"/>
        <v>#DIV/0!</v>
      </c>
      <c r="E70" s="130">
        <f t="shared" si="115"/>
        <v>0</v>
      </c>
      <c r="F70" s="73" t="str">
        <f t="shared" si="112"/>
        <v/>
      </c>
      <c r="H70" s="35"/>
      <c r="J70" s="147"/>
      <c r="L70" s="28" t="str">
        <f t="shared" si="116"/>
        <v/>
      </c>
      <c r="N70" s="90" t="str">
        <f t="shared" si="113"/>
        <v/>
      </c>
      <c r="P70" s="35"/>
      <c r="Q70" s="14"/>
      <c r="R70" s="147"/>
      <c r="S70" s="14"/>
      <c r="T70" s="28" t="str">
        <f t="shared" si="117"/>
        <v/>
      </c>
      <c r="V70" s="90"/>
      <c r="X70" s="35"/>
      <c r="Y70" s="14"/>
      <c r="Z70" s="147"/>
      <c r="AA70" s="14"/>
      <c r="AB70" s="28" t="str">
        <f t="shared" si="118"/>
        <v/>
      </c>
      <c r="AC70" s="14"/>
      <c r="AD70" s="90"/>
      <c r="AF70" s="35"/>
      <c r="AG70" s="14"/>
      <c r="AH70" s="147"/>
      <c r="AI70" s="14"/>
      <c r="AJ70" s="28" t="str">
        <f t="shared" si="119"/>
        <v/>
      </c>
      <c r="AL70" s="90"/>
      <c r="AN70" s="35"/>
      <c r="AO70" s="14"/>
      <c r="AP70" s="147"/>
      <c r="AQ70" s="14"/>
      <c r="AR70" s="28" t="str">
        <f t="shared" si="120"/>
        <v/>
      </c>
      <c r="AT70" s="90"/>
      <c r="AV70" s="35"/>
      <c r="AW70" s="14"/>
      <c r="AX70" s="147"/>
      <c r="AY70" s="14"/>
      <c r="AZ70" s="28" t="str">
        <f t="shared" si="121"/>
        <v/>
      </c>
      <c r="BB70" s="90"/>
      <c r="BD70" s="35"/>
      <c r="BE70" s="14"/>
      <c r="BF70" s="147"/>
      <c r="BG70" s="14"/>
      <c r="BH70" s="28" t="str">
        <f t="shared" si="122"/>
        <v/>
      </c>
      <c r="BJ70" s="90"/>
      <c r="BL70" s="35"/>
      <c r="BM70" s="14"/>
      <c r="BN70" s="147"/>
      <c r="BO70" s="14"/>
      <c r="BP70" s="28" t="str">
        <f t="shared" si="123"/>
        <v/>
      </c>
      <c r="BR70" s="90"/>
      <c r="BT70" s="35"/>
      <c r="BU70" s="14"/>
      <c r="BV70" s="147"/>
      <c r="BW70" s="14"/>
      <c r="BX70" s="28" t="str">
        <f t="shared" si="124"/>
        <v/>
      </c>
      <c r="BZ70" s="90"/>
      <c r="CB70" s="35"/>
      <c r="CC70" s="14"/>
      <c r="CD70" s="147"/>
      <c r="CE70" s="14"/>
      <c r="CF70" s="28" t="str">
        <f t="shared" si="125"/>
        <v/>
      </c>
      <c r="CH70" s="90"/>
      <c r="CJ70" s="35"/>
      <c r="CK70" s="14"/>
      <c r="CL70" s="147"/>
      <c r="CM70" s="14"/>
      <c r="CN70" s="28" t="str">
        <f t="shared" si="126"/>
        <v/>
      </c>
      <c r="CP70" s="90"/>
      <c r="CR70" s="35"/>
      <c r="CS70" s="14"/>
      <c r="CT70" s="147"/>
      <c r="CU70" s="14"/>
      <c r="CV70" s="28" t="str">
        <f t="shared" si="127"/>
        <v/>
      </c>
      <c r="CX70" s="90"/>
    </row>
    <row r="71" spans="2:102" ht="15.6" x14ac:dyDescent="0.3">
      <c r="B71" s="111"/>
      <c r="C71" s="120" t="s">
        <v>144</v>
      </c>
      <c r="D71" s="78" t="e">
        <f t="shared" si="114"/>
        <v>#DIV/0!</v>
      </c>
      <c r="E71" s="130">
        <f t="shared" si="115"/>
        <v>0</v>
      </c>
      <c r="F71" s="73" t="str">
        <f t="shared" si="112"/>
        <v/>
      </c>
      <c r="H71" s="35"/>
      <c r="J71" s="147"/>
      <c r="L71" s="28" t="str">
        <f t="shared" si="116"/>
        <v/>
      </c>
      <c r="N71" s="90" t="str">
        <f t="shared" si="113"/>
        <v/>
      </c>
      <c r="P71" s="35"/>
      <c r="Q71" s="14"/>
      <c r="R71" s="147"/>
      <c r="S71" s="14"/>
      <c r="T71" s="28" t="str">
        <f t="shared" si="117"/>
        <v/>
      </c>
      <c r="V71" s="90"/>
      <c r="X71" s="35"/>
      <c r="Y71" s="14"/>
      <c r="Z71" s="147"/>
      <c r="AA71" s="14"/>
      <c r="AB71" s="28" t="str">
        <f t="shared" si="118"/>
        <v/>
      </c>
      <c r="AC71" s="14"/>
      <c r="AD71" s="90"/>
      <c r="AF71" s="35"/>
      <c r="AG71" s="14"/>
      <c r="AH71" s="147"/>
      <c r="AI71" s="14"/>
      <c r="AJ71" s="28" t="str">
        <f t="shared" si="119"/>
        <v/>
      </c>
      <c r="AL71" s="90"/>
      <c r="AN71" s="35"/>
      <c r="AO71" s="14"/>
      <c r="AP71" s="147"/>
      <c r="AQ71" s="14"/>
      <c r="AR71" s="28" t="str">
        <f t="shared" si="120"/>
        <v/>
      </c>
      <c r="AT71" s="90"/>
      <c r="AV71" s="35"/>
      <c r="AW71" s="14"/>
      <c r="AX71" s="147"/>
      <c r="AY71" s="14"/>
      <c r="AZ71" s="28" t="str">
        <f t="shared" si="121"/>
        <v/>
      </c>
      <c r="BB71" s="90"/>
      <c r="BD71" s="35"/>
      <c r="BE71" s="14"/>
      <c r="BF71" s="147"/>
      <c r="BG71" s="14"/>
      <c r="BH71" s="28" t="str">
        <f t="shared" si="122"/>
        <v/>
      </c>
      <c r="BJ71" s="90"/>
      <c r="BL71" s="35"/>
      <c r="BM71" s="14"/>
      <c r="BN71" s="147"/>
      <c r="BO71" s="14"/>
      <c r="BP71" s="28" t="str">
        <f t="shared" si="123"/>
        <v/>
      </c>
      <c r="BR71" s="90"/>
      <c r="BT71" s="35"/>
      <c r="BU71" s="14"/>
      <c r="BV71" s="147"/>
      <c r="BW71" s="14"/>
      <c r="BX71" s="28" t="str">
        <f t="shared" si="124"/>
        <v/>
      </c>
      <c r="BZ71" s="90"/>
      <c r="CB71" s="35"/>
      <c r="CC71" s="14"/>
      <c r="CD71" s="147"/>
      <c r="CE71" s="14"/>
      <c r="CF71" s="28" t="str">
        <f t="shared" si="125"/>
        <v/>
      </c>
      <c r="CH71" s="90"/>
      <c r="CJ71" s="35"/>
      <c r="CK71" s="14"/>
      <c r="CL71" s="147"/>
      <c r="CM71" s="14"/>
      <c r="CN71" s="28" t="str">
        <f t="shared" si="126"/>
        <v/>
      </c>
      <c r="CP71" s="90"/>
      <c r="CR71" s="35"/>
      <c r="CS71" s="14"/>
      <c r="CT71" s="147"/>
      <c r="CU71" s="14"/>
      <c r="CV71" s="28" t="str">
        <f t="shared" si="127"/>
        <v/>
      </c>
      <c r="CX71" s="90"/>
    </row>
    <row r="72" spans="2:102" ht="15.6" x14ac:dyDescent="0.3">
      <c r="B72" s="111"/>
      <c r="C72" s="120"/>
      <c r="D72" s="78"/>
      <c r="E72" s="130"/>
      <c r="F72" s="73"/>
      <c r="H72" s="35"/>
      <c r="J72" s="147"/>
      <c r="L72" s="28"/>
      <c r="N72" s="90"/>
      <c r="P72" s="35"/>
      <c r="Q72" s="14"/>
      <c r="R72" s="147"/>
      <c r="S72" s="14"/>
      <c r="T72" s="28"/>
      <c r="V72" s="90"/>
      <c r="X72" s="35"/>
      <c r="Y72" s="14"/>
      <c r="Z72" s="147"/>
      <c r="AA72" s="14"/>
      <c r="AB72" s="28"/>
      <c r="AC72" s="14"/>
      <c r="AD72" s="90"/>
      <c r="AF72" s="35"/>
      <c r="AG72" s="14"/>
      <c r="AH72" s="147"/>
      <c r="AI72" s="14"/>
      <c r="AJ72" s="28"/>
      <c r="AL72" s="90"/>
      <c r="AN72" s="35"/>
      <c r="AO72" s="14"/>
      <c r="AP72" s="147"/>
      <c r="AQ72" s="14"/>
      <c r="AR72" s="28"/>
      <c r="AT72" s="90"/>
      <c r="AV72" s="35"/>
      <c r="AW72" s="14"/>
      <c r="AX72" s="147"/>
      <c r="AY72" s="14"/>
      <c r="AZ72" s="28"/>
      <c r="BB72" s="90"/>
      <c r="BD72" s="35"/>
      <c r="BE72" s="14"/>
      <c r="BF72" s="147"/>
      <c r="BG72" s="14"/>
      <c r="BH72" s="28"/>
      <c r="BJ72" s="90"/>
      <c r="BL72" s="35"/>
      <c r="BM72" s="14"/>
      <c r="BN72" s="147"/>
      <c r="BO72" s="14"/>
      <c r="BP72" s="28"/>
      <c r="BR72" s="90"/>
      <c r="BT72" s="35"/>
      <c r="BU72" s="14"/>
      <c r="BV72" s="147"/>
      <c r="BW72" s="14"/>
      <c r="BX72" s="28"/>
      <c r="BZ72" s="90"/>
      <c r="CB72" s="35"/>
      <c r="CC72" s="14"/>
      <c r="CD72" s="147"/>
      <c r="CE72" s="14"/>
      <c r="CF72" s="28"/>
      <c r="CH72" s="90"/>
      <c r="CJ72" s="35"/>
      <c r="CK72" s="14"/>
      <c r="CL72" s="147"/>
      <c r="CM72" s="14"/>
      <c r="CN72" s="28"/>
      <c r="CP72" s="90"/>
      <c r="CR72" s="35"/>
      <c r="CS72" s="14"/>
      <c r="CT72" s="147"/>
      <c r="CU72" s="14"/>
      <c r="CV72" s="28"/>
      <c r="CX72" s="90"/>
    </row>
    <row r="73" spans="2:102" ht="16.2" thickBot="1" x14ac:dyDescent="0.35">
      <c r="B73" s="113"/>
      <c r="C73" s="114"/>
      <c r="D73" s="115"/>
      <c r="E73" s="133"/>
      <c r="F73" s="74"/>
      <c r="H73" s="35"/>
      <c r="J73" s="147"/>
      <c r="L73" s="28"/>
      <c r="N73" s="90"/>
      <c r="P73" s="35"/>
      <c r="Q73" s="14"/>
      <c r="R73" s="147"/>
      <c r="S73" s="14"/>
      <c r="T73" s="28"/>
      <c r="V73" s="90"/>
      <c r="X73" s="35"/>
      <c r="Y73" s="14"/>
      <c r="Z73" s="147"/>
      <c r="AA73" s="14"/>
      <c r="AB73" s="28"/>
      <c r="AC73" s="14"/>
      <c r="AD73" s="90"/>
      <c r="AF73" s="35"/>
      <c r="AG73" s="14"/>
      <c r="AH73" s="147"/>
      <c r="AI73" s="14"/>
      <c r="AJ73" s="28"/>
      <c r="AL73" s="90"/>
      <c r="AN73" s="35"/>
      <c r="AO73" s="14"/>
      <c r="AP73" s="147"/>
      <c r="AQ73" s="14"/>
      <c r="AR73" s="28"/>
      <c r="AT73" s="90"/>
      <c r="AV73" s="35"/>
      <c r="AW73" s="14"/>
      <c r="AX73" s="147"/>
      <c r="AY73" s="14"/>
      <c r="AZ73" s="28"/>
      <c r="BB73" s="90"/>
      <c r="BD73" s="35"/>
      <c r="BE73" s="14"/>
      <c r="BF73" s="147"/>
      <c r="BG73" s="14"/>
      <c r="BH73" s="28"/>
      <c r="BJ73" s="90"/>
      <c r="BL73" s="35"/>
      <c r="BM73" s="14"/>
      <c r="BN73" s="147"/>
      <c r="BO73" s="14"/>
      <c r="BP73" s="28"/>
      <c r="BR73" s="90"/>
      <c r="BT73" s="35"/>
      <c r="BU73" s="14"/>
      <c r="BV73" s="147"/>
      <c r="BW73" s="14"/>
      <c r="BX73" s="28"/>
      <c r="BZ73" s="90"/>
      <c r="CB73" s="35"/>
      <c r="CC73" s="14"/>
      <c r="CD73" s="147"/>
      <c r="CE73" s="14"/>
      <c r="CF73" s="28"/>
      <c r="CH73" s="90"/>
      <c r="CJ73" s="35"/>
      <c r="CK73" s="14"/>
      <c r="CL73" s="147"/>
      <c r="CM73" s="14"/>
      <c r="CN73" s="28"/>
      <c r="CP73" s="90"/>
      <c r="CR73" s="35"/>
      <c r="CS73" s="14"/>
      <c r="CT73" s="147"/>
      <c r="CU73" s="14"/>
      <c r="CV73" s="28"/>
      <c r="CX73" s="90"/>
    </row>
    <row r="74" spans="2:102" ht="9" customHeight="1" thickBot="1" x14ac:dyDescent="0.35">
      <c r="C74" s="39"/>
      <c r="F74" s="17"/>
      <c r="H74" s="36"/>
      <c r="J74" s="36"/>
      <c r="L74" s="31"/>
      <c r="N74" s="31"/>
      <c r="P74" s="36"/>
      <c r="Q74" s="14"/>
      <c r="R74" s="36"/>
      <c r="S74" s="14"/>
      <c r="T74" s="31"/>
      <c r="V74" s="31"/>
      <c r="X74" s="36"/>
      <c r="Y74" s="14"/>
      <c r="Z74" s="36"/>
      <c r="AA74" s="14"/>
      <c r="AB74" s="31"/>
      <c r="AC74" s="14"/>
      <c r="AD74" s="31"/>
      <c r="AF74" s="36"/>
      <c r="AG74" s="14"/>
      <c r="AH74" s="36"/>
      <c r="AI74" s="14"/>
      <c r="AJ74" s="31"/>
      <c r="AL74" s="31"/>
      <c r="AN74" s="36"/>
      <c r="AO74" s="14"/>
      <c r="AP74" s="36"/>
      <c r="AQ74" s="14"/>
      <c r="AR74" s="31"/>
      <c r="AT74" s="31"/>
      <c r="AV74" s="36"/>
      <c r="AW74" s="14"/>
      <c r="AX74" s="36"/>
      <c r="AY74" s="14"/>
      <c r="AZ74" s="31"/>
      <c r="BB74" s="31"/>
      <c r="BD74" s="36"/>
      <c r="BE74" s="14"/>
      <c r="BF74" s="36"/>
      <c r="BG74" s="14"/>
      <c r="BH74" s="31"/>
      <c r="BJ74" s="31"/>
      <c r="BL74" s="36"/>
      <c r="BM74" s="14"/>
      <c r="BN74" s="36"/>
      <c r="BO74" s="14"/>
      <c r="BP74" s="31"/>
      <c r="BR74" s="31"/>
      <c r="BT74" s="36"/>
      <c r="BU74" s="14"/>
      <c r="BV74" s="36"/>
      <c r="BW74" s="14"/>
      <c r="BX74" s="31"/>
      <c r="BZ74" s="31"/>
      <c r="CB74" s="36"/>
      <c r="CC74" s="14"/>
      <c r="CD74" s="36"/>
      <c r="CE74" s="14"/>
      <c r="CF74" s="31"/>
      <c r="CH74" s="31"/>
      <c r="CJ74" s="36"/>
      <c r="CK74" s="14"/>
      <c r="CL74" s="36"/>
      <c r="CM74" s="14"/>
      <c r="CN74" s="31"/>
      <c r="CP74" s="31"/>
      <c r="CR74" s="36"/>
      <c r="CS74" s="14"/>
      <c r="CT74" s="36"/>
      <c r="CU74" s="14"/>
      <c r="CV74" s="31"/>
      <c r="CX74" s="31"/>
    </row>
    <row r="75" spans="2:102" ht="16.2" thickBot="1" x14ac:dyDescent="0.35">
      <c r="B75" s="208" t="s">
        <v>126</v>
      </c>
      <c r="C75" s="209"/>
      <c r="D75" s="29" t="e">
        <f t="shared" ref="D75:F75" si="128">IF(SUM(D76:D80)&lt;&gt;"",SUM(D76:D80),"")</f>
        <v>#DIV/0!</v>
      </c>
      <c r="E75" s="127">
        <f t="shared" si="128"/>
        <v>0</v>
      </c>
      <c r="F75" s="76">
        <f t="shared" si="128"/>
        <v>0</v>
      </c>
      <c r="H75" s="29">
        <f>IF(SUM(H76:H80)&lt;&gt;"",SUM(H76:H80),"")</f>
        <v>0</v>
      </c>
      <c r="J75" s="29">
        <f>IF(SUM(J76:J80)&lt;&gt;"",SUM(J76:J80),"")</f>
        <v>0</v>
      </c>
      <c r="L75" s="94" t="str">
        <f>IF(SUM(L76:L79)&lt;&gt;0,SUM(L76:L79),"")</f>
        <v/>
      </c>
      <c r="N75" s="30" t="e">
        <f>IF(J75&lt;&gt;"",(J75/$D75)-1,"")</f>
        <v>#DIV/0!</v>
      </c>
      <c r="P75" s="29">
        <f>IF(SUM(P76:P80)&lt;&gt;"",SUM(P76:P80),"")</f>
        <v>0</v>
      </c>
      <c r="Q75" s="14"/>
      <c r="R75" s="29">
        <f>IF(SUM(R76:R80)&lt;&gt;"",SUM(R76:R80),"")</f>
        <v>0</v>
      </c>
      <c r="S75" s="14"/>
      <c r="T75" s="94" t="str">
        <f>IF(SUM(T76:T79)&lt;&gt;0,SUM(T76:T79),"")</f>
        <v/>
      </c>
      <c r="V75" s="94" t="str">
        <f t="shared" ref="V75:V77" si="129">IF(R75&lt;&gt;0,(R75/P75)-1,"")</f>
        <v/>
      </c>
      <c r="X75" s="29">
        <f>IF(SUM(X76:X80)&lt;&gt;"",SUM(X76:X80),"")</f>
        <v>0</v>
      </c>
      <c r="Y75" s="14"/>
      <c r="Z75" s="29">
        <f>IF(SUM(Z76:Z80)&lt;&gt;"",SUM(Z76:Z80),"")</f>
        <v>0</v>
      </c>
      <c r="AA75" s="14"/>
      <c r="AB75" s="94" t="str">
        <f>IF(SUM(AB76:AB79)&lt;&gt;0,SUM(AB76:AB79),"")</f>
        <v/>
      </c>
      <c r="AC75" s="14"/>
      <c r="AD75" s="94" t="str">
        <f t="shared" ref="AD75:AD77" si="130">IF(Z75&lt;&gt;0,(Z75/X75)-1,"")</f>
        <v/>
      </c>
      <c r="AF75" s="29">
        <f>IF(SUM(AF76:AF80)&lt;&gt;"",SUM(AF76:AF80),"")</f>
        <v>0</v>
      </c>
      <c r="AG75" s="14"/>
      <c r="AH75" s="29">
        <f>IF(SUM(AH76:AH80)&lt;&gt;"",SUM(AH76:AH80),"")</f>
        <v>0</v>
      </c>
      <c r="AI75" s="14"/>
      <c r="AJ75" s="94" t="str">
        <f>IF(SUM(AJ76:AJ79)&lt;&gt;0,SUM(AJ76:AJ79),"")</f>
        <v/>
      </c>
      <c r="AL75" s="94" t="str">
        <f t="shared" ref="AL75:AL77" si="131">IF(AH75&lt;&gt;0,(AH75/AF75)-1,"")</f>
        <v/>
      </c>
      <c r="AN75" s="29">
        <f>IF(SUM(AN76:AN80)&lt;&gt;"",SUM(AN76:AN80),"")</f>
        <v>0</v>
      </c>
      <c r="AO75" s="14"/>
      <c r="AP75" s="29">
        <f>IF(SUM(AP76:AP80)&lt;&gt;"",SUM(AP76:AP80),"")</f>
        <v>0</v>
      </c>
      <c r="AQ75" s="14"/>
      <c r="AR75" s="94" t="str">
        <f>IF(SUM(AR76:AR79)&lt;&gt;0,SUM(AR76:AR79),"")</f>
        <v/>
      </c>
      <c r="AT75" s="94" t="str">
        <f t="shared" ref="AT75:AT77" si="132">IF(AP75&lt;&gt;0,(AP75/AN75)-1,"")</f>
        <v/>
      </c>
      <c r="AV75" s="29">
        <f>IF(SUM(AV76:AV80)&lt;&gt;"",SUM(AV76:AV80),"")</f>
        <v>0</v>
      </c>
      <c r="AW75" s="14"/>
      <c r="AX75" s="29">
        <f>IF(SUM(AX76:AX80)&lt;&gt;"",SUM(AX76:AX80),"")</f>
        <v>0</v>
      </c>
      <c r="AY75" s="14"/>
      <c r="AZ75" s="94" t="str">
        <f>IF(SUM(AZ76:AZ79)&lt;&gt;0,SUM(AZ76:AZ79),"")</f>
        <v/>
      </c>
      <c r="BB75" s="94" t="str">
        <f t="shared" ref="BB75:BB77" si="133">IF(AX75&lt;&gt;0,(AX75/AV75)-1,"")</f>
        <v/>
      </c>
      <c r="BD75" s="29">
        <f>IF(SUM(BD76:BD80)&lt;&gt;"",SUM(BD76:BD80),"")</f>
        <v>0</v>
      </c>
      <c r="BE75" s="14"/>
      <c r="BF75" s="29">
        <f>IF(SUM(BF76:BF80)&lt;&gt;"",SUM(BF76:BF80),"")</f>
        <v>0</v>
      </c>
      <c r="BG75" s="14"/>
      <c r="BH75" s="94" t="str">
        <f>IF(SUM(BH76:BH79)&lt;&gt;0,SUM(BH76:BH79),"")</f>
        <v/>
      </c>
      <c r="BJ75" s="94" t="str">
        <f t="shared" ref="BJ75:BJ77" si="134">IF(BF75&lt;&gt;0,(BF75/BD75)-1,"")</f>
        <v/>
      </c>
      <c r="BL75" s="29">
        <f>IF(SUM(BL76:BL80)&lt;&gt;"",SUM(BL76:BL80),"")</f>
        <v>0</v>
      </c>
      <c r="BM75" s="14"/>
      <c r="BN75" s="29">
        <f>IF(SUM(BN76:BN80)&lt;&gt;"",SUM(BN76:BN80),"")</f>
        <v>0</v>
      </c>
      <c r="BO75" s="14"/>
      <c r="BP75" s="94" t="str">
        <f>IF(SUM(BP76:BP79)&lt;&gt;0,SUM(BP76:BP79),"")</f>
        <v/>
      </c>
      <c r="BR75" s="94" t="str">
        <f t="shared" ref="BR75:BR77" si="135">IF(BN75&lt;&gt;0,(BN75/BL75)-1,"")</f>
        <v/>
      </c>
      <c r="BT75" s="29">
        <f>IF(SUM(BT76:BT80)&lt;&gt;"",SUM(BT76:BT80),"")</f>
        <v>0</v>
      </c>
      <c r="BU75" s="14"/>
      <c r="BV75" s="29">
        <f>IF(SUM(BV76:BV80)&lt;&gt;"",SUM(BV76:BV80),"")</f>
        <v>0</v>
      </c>
      <c r="BW75" s="14"/>
      <c r="BX75" s="94" t="str">
        <f>IF(SUM(BX76:BX79)&lt;&gt;0,SUM(BX76:BX79),"")</f>
        <v/>
      </c>
      <c r="BZ75" s="94" t="str">
        <f t="shared" ref="BZ75:BZ77" si="136">IF(BV75&lt;&gt;0,(BV75/BT75)-1,"")</f>
        <v/>
      </c>
      <c r="CB75" s="29">
        <f>IF(SUM(CB76:CB80)&lt;&gt;"",SUM(CB76:CB80),"")</f>
        <v>0</v>
      </c>
      <c r="CC75" s="14"/>
      <c r="CD75" s="29">
        <f>IF(SUM(CD76:CD80)&lt;&gt;"",SUM(CD76:CD80),"")</f>
        <v>0</v>
      </c>
      <c r="CE75" s="14"/>
      <c r="CF75" s="94" t="str">
        <f>IF(SUM(CF76:CF79)&lt;&gt;0,SUM(CF76:CF79),"")</f>
        <v/>
      </c>
      <c r="CH75" s="94" t="str">
        <f t="shared" ref="CH75:CH77" si="137">IF(CD75&lt;&gt;0,(CD75/CB75)-1,"")</f>
        <v/>
      </c>
      <c r="CJ75" s="29">
        <f>IF(SUM(CJ76:CJ80)&lt;&gt;"",SUM(CJ76:CJ80),"")</f>
        <v>0</v>
      </c>
      <c r="CK75" s="14"/>
      <c r="CL75" s="29">
        <f>IF(SUM(CL76:CL80)&lt;&gt;"",SUM(CL76:CL80),"")</f>
        <v>0</v>
      </c>
      <c r="CM75" s="14"/>
      <c r="CN75" s="94" t="str">
        <f>IF(SUM(CN76:CN79)&lt;&gt;0,SUM(CN76:CN79),"")</f>
        <v/>
      </c>
      <c r="CP75" s="94" t="str">
        <f t="shared" ref="CP75:CP77" si="138">IF(CL75&lt;&gt;0,(CL75/CJ75)-1,"")</f>
        <v/>
      </c>
      <c r="CR75" s="29">
        <f>IF(SUM(CR76:CR80)&lt;&gt;"",SUM(CR76:CR80),"")</f>
        <v>0</v>
      </c>
      <c r="CS75" s="14"/>
      <c r="CT75" s="29">
        <f>IF(SUM(CT76:CT80)&lt;&gt;"",SUM(CT76:CT80),"")</f>
        <v>0</v>
      </c>
      <c r="CU75" s="14"/>
      <c r="CV75" s="94" t="str">
        <f>IF(SUM(CV76:CV79)&lt;&gt;0,SUM(CV76:CV79),"")</f>
        <v/>
      </c>
      <c r="CX75" s="94" t="str">
        <f t="shared" ref="CX75:CX77" si="139">IF(CT75&lt;&gt;0,(CT75/CR75)-1,"")</f>
        <v/>
      </c>
    </row>
    <row r="76" spans="2:102" ht="15.6" x14ac:dyDescent="0.3">
      <c r="B76" s="98"/>
      <c r="C76" s="21" t="s">
        <v>108</v>
      </c>
      <c r="D76" s="78" t="e">
        <f t="shared" ref="D76:D80" si="140">IF(AVERAGE(J76,R76,Z76,AH76,AP76,AX76,BF76,BN76,BV76,CD76,CL76,CT76)&lt;&gt;"",AVERAGE(J76,R76,Z76,AH76,AP76,AX76,BF76,BN76,BV76,CD76,CL76,CT76),"")</f>
        <v>#DIV/0!</v>
      </c>
      <c r="E76" s="130">
        <f t="shared" ref="E76:E80" si="141">IF(SUM(J76,R76,Z76,AH76,AP76,AX76,BF76,BN76,BV76,CD76,CL76,CT76)&lt;&gt;"",SUM(J76,R76,Z76,AH76,AP76,AX76,BF76,BN76,BV76,CD76,CL76,CT76),"")</f>
        <v>0</v>
      </c>
      <c r="F76" s="73" t="str">
        <f t="shared" ref="F76:F80" si="142">IF(E76&lt;&gt;0,E76/E$7,"")</f>
        <v/>
      </c>
      <c r="H76" s="35"/>
      <c r="J76" s="147"/>
      <c r="L76" s="28" t="str">
        <f>IF(J76&lt;&gt;"",J76/J$7,"")</f>
        <v/>
      </c>
      <c r="N76" s="90" t="str">
        <f t="shared" ref="N76:N80" si="143">IF(J76&lt;&gt;0,(J76/D76)-1,"")</f>
        <v/>
      </c>
      <c r="P76" s="35"/>
      <c r="Q76" s="14"/>
      <c r="R76" s="147"/>
      <c r="S76" s="14"/>
      <c r="T76" s="28" t="str">
        <f>IF(R76&lt;&gt;"",R76/R$7,"")</f>
        <v/>
      </c>
      <c r="V76" s="90" t="str">
        <f t="shared" si="129"/>
        <v/>
      </c>
      <c r="X76" s="35"/>
      <c r="Y76" s="14"/>
      <c r="Z76" s="147"/>
      <c r="AA76" s="14"/>
      <c r="AB76" s="28" t="str">
        <f>IF(Z76&lt;&gt;"",Z76/Z$7,"")</f>
        <v/>
      </c>
      <c r="AC76" s="14"/>
      <c r="AD76" s="90" t="str">
        <f t="shared" si="130"/>
        <v/>
      </c>
      <c r="AF76" s="35"/>
      <c r="AG76" s="14"/>
      <c r="AH76" s="147"/>
      <c r="AI76" s="14"/>
      <c r="AJ76" s="28" t="str">
        <f>IF(AH76&lt;&gt;"",AH76/AH$7,"")</f>
        <v/>
      </c>
      <c r="AL76" s="90" t="str">
        <f t="shared" si="131"/>
        <v/>
      </c>
      <c r="AN76" s="35"/>
      <c r="AO76" s="14"/>
      <c r="AP76" s="147"/>
      <c r="AQ76" s="14"/>
      <c r="AR76" s="28" t="str">
        <f>IF(AP76&lt;&gt;"",AP76/AP$7,"")</f>
        <v/>
      </c>
      <c r="AT76" s="90" t="str">
        <f t="shared" si="132"/>
        <v/>
      </c>
      <c r="AV76" s="35"/>
      <c r="AW76" s="14"/>
      <c r="AX76" s="147"/>
      <c r="AY76" s="14"/>
      <c r="AZ76" s="28" t="str">
        <f>IF(AX76&lt;&gt;"",AX76/AX$7,"")</f>
        <v/>
      </c>
      <c r="BB76" s="90" t="str">
        <f t="shared" si="133"/>
        <v/>
      </c>
      <c r="BD76" s="35"/>
      <c r="BE76" s="14"/>
      <c r="BF76" s="147"/>
      <c r="BG76" s="14"/>
      <c r="BH76" s="28" t="str">
        <f>IF(BF76&lt;&gt;"",BF76/BF$7,"")</f>
        <v/>
      </c>
      <c r="BJ76" s="90" t="str">
        <f t="shared" si="134"/>
        <v/>
      </c>
      <c r="BL76" s="35"/>
      <c r="BM76" s="14"/>
      <c r="BN76" s="147"/>
      <c r="BO76" s="14"/>
      <c r="BP76" s="28" t="str">
        <f>IF(BN76&lt;&gt;"",BN76/BN$7,"")</f>
        <v/>
      </c>
      <c r="BR76" s="90" t="str">
        <f t="shared" si="135"/>
        <v/>
      </c>
      <c r="BT76" s="35"/>
      <c r="BU76" s="14"/>
      <c r="BV76" s="147"/>
      <c r="BW76" s="14"/>
      <c r="BX76" s="28" t="str">
        <f>IF(BV76&lt;&gt;"",BV76/BV$7,"")</f>
        <v/>
      </c>
      <c r="BZ76" s="90" t="str">
        <f t="shared" si="136"/>
        <v/>
      </c>
      <c r="CB76" s="35"/>
      <c r="CC76" s="14"/>
      <c r="CD76" s="147"/>
      <c r="CE76" s="14"/>
      <c r="CF76" s="28" t="str">
        <f>IF(CD76&lt;&gt;"",CD76/CD$7,"")</f>
        <v/>
      </c>
      <c r="CH76" s="90" t="str">
        <f t="shared" si="137"/>
        <v/>
      </c>
      <c r="CJ76" s="35"/>
      <c r="CK76" s="14"/>
      <c r="CL76" s="147"/>
      <c r="CM76" s="14"/>
      <c r="CN76" s="28" t="str">
        <f>IF(CL76&lt;&gt;"",CL76/CL$7,"")</f>
        <v/>
      </c>
      <c r="CP76" s="90" t="str">
        <f t="shared" si="138"/>
        <v/>
      </c>
      <c r="CR76" s="35"/>
      <c r="CS76" s="14"/>
      <c r="CT76" s="147"/>
      <c r="CU76" s="14"/>
      <c r="CV76" s="28" t="str">
        <f>IF(CT76&lt;&gt;"",CT76/CT$7,"")</f>
        <v/>
      </c>
      <c r="CX76" s="90" t="str">
        <f t="shared" si="139"/>
        <v/>
      </c>
    </row>
    <row r="77" spans="2:102" ht="15.6" x14ac:dyDescent="0.3">
      <c r="B77" s="51"/>
      <c r="C77" s="21" t="s">
        <v>97</v>
      </c>
      <c r="D77" s="70" t="e">
        <f t="shared" si="140"/>
        <v>#DIV/0!</v>
      </c>
      <c r="E77" s="130">
        <f t="shared" si="141"/>
        <v>0</v>
      </c>
      <c r="F77" s="73" t="str">
        <f t="shared" si="142"/>
        <v/>
      </c>
      <c r="H77" s="99"/>
      <c r="J77" s="148"/>
      <c r="L77" s="28" t="str">
        <f>IF(J77&lt;&gt;"",J77/J$7,"")</f>
        <v/>
      </c>
      <c r="N77" s="90" t="str">
        <f t="shared" si="143"/>
        <v/>
      </c>
      <c r="P77" s="99"/>
      <c r="Q77" s="14"/>
      <c r="R77" s="148"/>
      <c r="S77" s="14"/>
      <c r="T77" s="28" t="str">
        <f>IF(R77&lt;&gt;"",R77/R$7,"")</f>
        <v/>
      </c>
      <c r="V77" s="90" t="str">
        <f t="shared" si="129"/>
        <v/>
      </c>
      <c r="X77" s="99"/>
      <c r="Y77" s="14"/>
      <c r="Z77" s="148"/>
      <c r="AA77" s="14"/>
      <c r="AB77" s="28" t="str">
        <f>IF(Z77&lt;&gt;"",Z77/Z$7,"")</f>
        <v/>
      </c>
      <c r="AC77" s="14"/>
      <c r="AD77" s="90" t="str">
        <f t="shared" si="130"/>
        <v/>
      </c>
      <c r="AF77" s="99"/>
      <c r="AG77" s="14"/>
      <c r="AH77" s="148"/>
      <c r="AI77" s="14"/>
      <c r="AJ77" s="28" t="str">
        <f>IF(AH77&lt;&gt;"",AH77/AH$7,"")</f>
        <v/>
      </c>
      <c r="AL77" s="90" t="str">
        <f t="shared" si="131"/>
        <v/>
      </c>
      <c r="AN77" s="99"/>
      <c r="AO77" s="14"/>
      <c r="AP77" s="148"/>
      <c r="AQ77" s="14"/>
      <c r="AR77" s="28" t="str">
        <f>IF(AP77&lt;&gt;"",AP77/AP$7,"")</f>
        <v/>
      </c>
      <c r="AT77" s="90" t="str">
        <f t="shared" si="132"/>
        <v/>
      </c>
      <c r="AV77" s="99"/>
      <c r="AW77" s="14"/>
      <c r="AX77" s="148"/>
      <c r="AY77" s="14"/>
      <c r="AZ77" s="28" t="str">
        <f>IF(AX77&lt;&gt;"",AX77/AX$7,"")</f>
        <v/>
      </c>
      <c r="BB77" s="90" t="str">
        <f t="shared" si="133"/>
        <v/>
      </c>
      <c r="BD77" s="99"/>
      <c r="BE77" s="14"/>
      <c r="BF77" s="148"/>
      <c r="BG77" s="14"/>
      <c r="BH77" s="28" t="str">
        <f>IF(BF77&lt;&gt;"",BF77/BF$7,"")</f>
        <v/>
      </c>
      <c r="BJ77" s="90" t="str">
        <f t="shared" si="134"/>
        <v/>
      </c>
      <c r="BL77" s="99"/>
      <c r="BM77" s="14"/>
      <c r="BN77" s="148"/>
      <c r="BO77" s="14"/>
      <c r="BP77" s="28" t="str">
        <f>IF(BN77&lt;&gt;"",BN77/BN$7,"")</f>
        <v/>
      </c>
      <c r="BR77" s="90" t="str">
        <f t="shared" si="135"/>
        <v/>
      </c>
      <c r="BT77" s="99"/>
      <c r="BU77" s="14"/>
      <c r="BV77" s="148"/>
      <c r="BW77" s="14"/>
      <c r="BX77" s="28" t="str">
        <f>IF(BV77&lt;&gt;"",BV77/BV$7,"")</f>
        <v/>
      </c>
      <c r="BZ77" s="90" t="str">
        <f t="shared" si="136"/>
        <v/>
      </c>
      <c r="CB77" s="99"/>
      <c r="CC77" s="14"/>
      <c r="CD77" s="148"/>
      <c r="CE77" s="14"/>
      <c r="CF77" s="28" t="str">
        <f>IF(CD77&lt;&gt;"",CD77/CD$7,"")</f>
        <v/>
      </c>
      <c r="CH77" s="90" t="str">
        <f t="shared" si="137"/>
        <v/>
      </c>
      <c r="CJ77" s="99"/>
      <c r="CK77" s="14"/>
      <c r="CL77" s="148"/>
      <c r="CM77" s="14"/>
      <c r="CN77" s="28" t="str">
        <f>IF(CL77&lt;&gt;"",CL77/CL$7,"")</f>
        <v/>
      </c>
      <c r="CP77" s="90" t="str">
        <f t="shared" si="138"/>
        <v/>
      </c>
      <c r="CR77" s="99"/>
      <c r="CS77" s="14"/>
      <c r="CT77" s="148"/>
      <c r="CU77" s="14"/>
      <c r="CV77" s="28" t="str">
        <f>IF(CT77&lt;&gt;"",CT77/CT$7,"")</f>
        <v/>
      </c>
      <c r="CX77" s="90" t="str">
        <f t="shared" si="139"/>
        <v/>
      </c>
    </row>
    <row r="78" spans="2:102" ht="15.6" x14ac:dyDescent="0.3">
      <c r="B78" s="51"/>
      <c r="C78" s="21" t="s">
        <v>98</v>
      </c>
      <c r="D78" s="70" t="e">
        <f t="shared" si="140"/>
        <v>#DIV/0!</v>
      </c>
      <c r="E78" s="130">
        <f t="shared" si="141"/>
        <v>0</v>
      </c>
      <c r="F78" s="73" t="str">
        <f t="shared" si="142"/>
        <v/>
      </c>
      <c r="H78" s="99"/>
      <c r="J78" s="148"/>
      <c r="L78" s="28" t="str">
        <f t="shared" ref="L78:L79" si="144">IF(J78&lt;&gt;"",J78/J$7,"")</f>
        <v/>
      </c>
      <c r="N78" s="90" t="str">
        <f t="shared" si="143"/>
        <v/>
      </c>
      <c r="P78" s="99"/>
      <c r="Q78" s="14"/>
      <c r="R78" s="148"/>
      <c r="S78" s="14"/>
      <c r="T78" s="28" t="str">
        <f t="shared" ref="T78:T79" si="145">IF(R78&lt;&gt;"",R78/R$7,"")</f>
        <v/>
      </c>
      <c r="V78" s="90"/>
      <c r="X78" s="99"/>
      <c r="Y78" s="14"/>
      <c r="Z78" s="148"/>
      <c r="AA78" s="14"/>
      <c r="AB78" s="28" t="str">
        <f t="shared" ref="AB78:AB79" si="146">IF(Z78&lt;&gt;"",Z78/Z$7,"")</f>
        <v/>
      </c>
      <c r="AC78" s="14"/>
      <c r="AD78" s="90"/>
      <c r="AF78" s="99"/>
      <c r="AG78" s="14"/>
      <c r="AH78" s="148"/>
      <c r="AI78" s="14"/>
      <c r="AJ78" s="28" t="str">
        <f t="shared" ref="AJ78:AJ79" si="147">IF(AH78&lt;&gt;"",AH78/AH$7,"")</f>
        <v/>
      </c>
      <c r="AL78" s="90"/>
      <c r="AN78" s="99"/>
      <c r="AO78" s="14"/>
      <c r="AP78" s="148"/>
      <c r="AQ78" s="14"/>
      <c r="AR78" s="28" t="str">
        <f t="shared" ref="AR78:AR79" si="148">IF(AP78&lt;&gt;"",AP78/AP$7,"")</f>
        <v/>
      </c>
      <c r="AT78" s="90"/>
      <c r="AV78" s="99"/>
      <c r="AW78" s="14"/>
      <c r="AX78" s="148"/>
      <c r="AY78" s="14"/>
      <c r="AZ78" s="28" t="str">
        <f t="shared" ref="AZ78:AZ79" si="149">IF(AX78&lt;&gt;"",AX78/AX$7,"")</f>
        <v/>
      </c>
      <c r="BB78" s="90"/>
      <c r="BD78" s="99"/>
      <c r="BE78" s="14"/>
      <c r="BF78" s="148"/>
      <c r="BG78" s="14"/>
      <c r="BH78" s="28" t="str">
        <f t="shared" ref="BH78:BH79" si="150">IF(BF78&lt;&gt;"",BF78/BF$7,"")</f>
        <v/>
      </c>
      <c r="BJ78" s="90"/>
      <c r="BL78" s="99"/>
      <c r="BM78" s="14"/>
      <c r="BN78" s="148"/>
      <c r="BO78" s="14"/>
      <c r="BP78" s="28" t="str">
        <f t="shared" ref="BP78:BP79" si="151">IF(BN78&lt;&gt;"",BN78/BN$7,"")</f>
        <v/>
      </c>
      <c r="BR78" s="90"/>
      <c r="BT78" s="99"/>
      <c r="BU78" s="14"/>
      <c r="BV78" s="148"/>
      <c r="BW78" s="14"/>
      <c r="BX78" s="28" t="str">
        <f t="shared" ref="BX78:BX79" si="152">IF(BV78&lt;&gt;"",BV78/BV$7,"")</f>
        <v/>
      </c>
      <c r="BZ78" s="90"/>
      <c r="CB78" s="99"/>
      <c r="CC78" s="14"/>
      <c r="CD78" s="148"/>
      <c r="CE78" s="14"/>
      <c r="CF78" s="28" t="str">
        <f t="shared" ref="CF78:CF79" si="153">IF(CD78&lt;&gt;"",CD78/CD$7,"")</f>
        <v/>
      </c>
      <c r="CH78" s="90"/>
      <c r="CJ78" s="99"/>
      <c r="CK78" s="14"/>
      <c r="CL78" s="148"/>
      <c r="CM78" s="14"/>
      <c r="CN78" s="28" t="str">
        <f t="shared" ref="CN78:CN79" si="154">IF(CL78&lt;&gt;"",CL78/CL$7,"")</f>
        <v/>
      </c>
      <c r="CP78" s="90"/>
      <c r="CR78" s="99"/>
      <c r="CS78" s="14"/>
      <c r="CT78" s="148"/>
      <c r="CU78" s="14"/>
      <c r="CV78" s="28" t="str">
        <f t="shared" ref="CV78:CV79" si="155">IF(CT78&lt;&gt;"",CT78/CT$7,"")</f>
        <v/>
      </c>
      <c r="CX78" s="90"/>
    </row>
    <row r="79" spans="2:102" ht="15.6" x14ac:dyDescent="0.3">
      <c r="B79" s="51"/>
      <c r="C79" s="21" t="s">
        <v>99</v>
      </c>
      <c r="D79" s="70" t="e">
        <f t="shared" si="140"/>
        <v>#DIV/0!</v>
      </c>
      <c r="E79" s="130">
        <f t="shared" si="141"/>
        <v>0</v>
      </c>
      <c r="F79" s="73" t="str">
        <f t="shared" si="142"/>
        <v/>
      </c>
      <c r="H79" s="99"/>
      <c r="J79" s="148"/>
      <c r="L79" s="28" t="str">
        <f t="shared" si="144"/>
        <v/>
      </c>
      <c r="N79" s="90" t="str">
        <f t="shared" si="143"/>
        <v/>
      </c>
      <c r="P79" s="99"/>
      <c r="Q79" s="14"/>
      <c r="R79" s="148"/>
      <c r="S79" s="14"/>
      <c r="T79" s="28" t="str">
        <f t="shared" si="145"/>
        <v/>
      </c>
      <c r="V79" s="90"/>
      <c r="X79" s="99"/>
      <c r="Y79" s="14"/>
      <c r="Z79" s="148"/>
      <c r="AA79" s="14"/>
      <c r="AB79" s="28" t="str">
        <f t="shared" si="146"/>
        <v/>
      </c>
      <c r="AC79" s="14"/>
      <c r="AD79" s="90"/>
      <c r="AF79" s="99"/>
      <c r="AG79" s="14"/>
      <c r="AH79" s="148"/>
      <c r="AI79" s="14"/>
      <c r="AJ79" s="28" t="str">
        <f t="shared" si="147"/>
        <v/>
      </c>
      <c r="AL79" s="90"/>
      <c r="AN79" s="99"/>
      <c r="AO79" s="14"/>
      <c r="AP79" s="148"/>
      <c r="AQ79" s="14"/>
      <c r="AR79" s="28" t="str">
        <f t="shared" si="148"/>
        <v/>
      </c>
      <c r="AT79" s="90"/>
      <c r="AV79" s="99"/>
      <c r="AW79" s="14"/>
      <c r="AX79" s="148"/>
      <c r="AY79" s="14"/>
      <c r="AZ79" s="28" t="str">
        <f t="shared" si="149"/>
        <v/>
      </c>
      <c r="BB79" s="90"/>
      <c r="BD79" s="99"/>
      <c r="BE79" s="14"/>
      <c r="BF79" s="148"/>
      <c r="BG79" s="14"/>
      <c r="BH79" s="28" t="str">
        <f t="shared" si="150"/>
        <v/>
      </c>
      <c r="BJ79" s="90"/>
      <c r="BL79" s="99"/>
      <c r="BM79" s="14"/>
      <c r="BN79" s="148"/>
      <c r="BO79" s="14"/>
      <c r="BP79" s="28" t="str">
        <f t="shared" si="151"/>
        <v/>
      </c>
      <c r="BR79" s="90"/>
      <c r="BT79" s="99"/>
      <c r="BU79" s="14"/>
      <c r="BV79" s="148"/>
      <c r="BW79" s="14"/>
      <c r="BX79" s="28" t="str">
        <f t="shared" si="152"/>
        <v/>
      </c>
      <c r="BZ79" s="90"/>
      <c r="CB79" s="99"/>
      <c r="CC79" s="14"/>
      <c r="CD79" s="148"/>
      <c r="CE79" s="14"/>
      <c r="CF79" s="28" t="str">
        <f t="shared" si="153"/>
        <v/>
      </c>
      <c r="CH79" s="90"/>
      <c r="CJ79" s="99"/>
      <c r="CK79" s="14"/>
      <c r="CL79" s="148"/>
      <c r="CM79" s="14"/>
      <c r="CN79" s="28" t="str">
        <f t="shared" si="154"/>
        <v/>
      </c>
      <c r="CP79" s="90"/>
      <c r="CR79" s="99"/>
      <c r="CS79" s="14"/>
      <c r="CT79" s="148"/>
      <c r="CU79" s="14"/>
      <c r="CV79" s="28" t="str">
        <f t="shared" si="155"/>
        <v/>
      </c>
      <c r="CX79" s="90"/>
    </row>
    <row r="80" spans="2:102" ht="16.2" thickBot="1" x14ac:dyDescent="0.35">
      <c r="B80" s="52"/>
      <c r="C80" s="62" t="s">
        <v>140</v>
      </c>
      <c r="D80" s="71" t="e">
        <f t="shared" si="140"/>
        <v>#DIV/0!</v>
      </c>
      <c r="E80" s="133">
        <f t="shared" si="141"/>
        <v>0</v>
      </c>
      <c r="F80" s="81" t="str">
        <f t="shared" si="142"/>
        <v/>
      </c>
      <c r="H80" s="64"/>
      <c r="J80" s="149"/>
      <c r="L80" s="65" t="str">
        <f t="shared" ref="L80" si="156">IF(J80&lt;&gt;"",J80/$J$7,"")</f>
        <v/>
      </c>
      <c r="N80" s="90" t="str">
        <f t="shared" si="143"/>
        <v/>
      </c>
      <c r="P80" s="64"/>
      <c r="Q80" s="14"/>
      <c r="R80" s="149"/>
      <c r="S80" s="14"/>
      <c r="T80" s="65" t="str">
        <f t="shared" ref="T80" si="157">IF(R80&lt;&gt;"",R80/$J$7,"")</f>
        <v/>
      </c>
      <c r="V80" s="90" t="str">
        <f t="shared" ref="V80" si="158">IF(R80&lt;&gt;0,(R80/P80)-1,"")</f>
        <v/>
      </c>
      <c r="X80" s="64"/>
      <c r="Y80" s="14"/>
      <c r="Z80" s="149"/>
      <c r="AA80" s="14"/>
      <c r="AB80" s="65" t="str">
        <f t="shared" ref="AB80" si="159">IF(Z80&lt;&gt;"",Z80/$J$7,"")</f>
        <v/>
      </c>
      <c r="AC80" s="14"/>
      <c r="AD80" s="90" t="str">
        <f t="shared" ref="AD80" si="160">IF(Z80&lt;&gt;0,(Z80/X80)-1,"")</f>
        <v/>
      </c>
      <c r="AF80" s="64"/>
      <c r="AG80" s="14"/>
      <c r="AH80" s="149"/>
      <c r="AI80" s="14"/>
      <c r="AJ80" s="65" t="str">
        <f t="shared" ref="AJ80" si="161">IF(AH80&lt;&gt;"",AH80/$J$7,"")</f>
        <v/>
      </c>
      <c r="AL80" s="90" t="str">
        <f t="shared" ref="AL80" si="162">IF(AH80&lt;&gt;0,(AH80/AF80)-1,"")</f>
        <v/>
      </c>
      <c r="AN80" s="64"/>
      <c r="AO80" s="14"/>
      <c r="AP80" s="149"/>
      <c r="AQ80" s="14"/>
      <c r="AR80" s="65" t="str">
        <f t="shared" ref="AR80" si="163">IF(AP80&lt;&gt;"",AP80/$J$7,"")</f>
        <v/>
      </c>
      <c r="AT80" s="90" t="str">
        <f t="shared" ref="AT80" si="164">IF(AP80&lt;&gt;0,(AP80/AN80)-1,"")</f>
        <v/>
      </c>
      <c r="AV80" s="64"/>
      <c r="AW80" s="14"/>
      <c r="AX80" s="149"/>
      <c r="AY80" s="14"/>
      <c r="AZ80" s="65" t="str">
        <f t="shared" ref="AZ80" si="165">IF(AX80&lt;&gt;"",AX80/$J$7,"")</f>
        <v/>
      </c>
      <c r="BB80" s="90" t="str">
        <f t="shared" ref="BB80" si="166">IF(AX80&lt;&gt;0,(AX80/AV80)-1,"")</f>
        <v/>
      </c>
      <c r="BD80" s="64"/>
      <c r="BE80" s="14"/>
      <c r="BF80" s="149"/>
      <c r="BG80" s="14"/>
      <c r="BH80" s="65" t="str">
        <f t="shared" ref="BH80" si="167">IF(BF80&lt;&gt;"",BF80/$J$7,"")</f>
        <v/>
      </c>
      <c r="BJ80" s="90" t="str">
        <f t="shared" ref="BJ80" si="168">IF(BF80&lt;&gt;0,(BF80/BD80)-1,"")</f>
        <v/>
      </c>
      <c r="BL80" s="64"/>
      <c r="BM80" s="14"/>
      <c r="BN80" s="149"/>
      <c r="BO80" s="14"/>
      <c r="BP80" s="65" t="str">
        <f t="shared" ref="BP80" si="169">IF(BN80&lt;&gt;"",BN80/$J$7,"")</f>
        <v/>
      </c>
      <c r="BR80" s="90" t="str">
        <f t="shared" ref="BR80" si="170">IF(BN80&lt;&gt;0,(BN80/BL80)-1,"")</f>
        <v/>
      </c>
      <c r="BT80" s="64"/>
      <c r="BU80" s="14"/>
      <c r="BV80" s="149"/>
      <c r="BW80" s="14"/>
      <c r="BX80" s="65" t="str">
        <f t="shared" ref="BX80" si="171">IF(BV80&lt;&gt;"",BV80/$J$7,"")</f>
        <v/>
      </c>
      <c r="BZ80" s="90" t="str">
        <f t="shared" ref="BZ80" si="172">IF(BV80&lt;&gt;0,(BV80/BT80)-1,"")</f>
        <v/>
      </c>
      <c r="CB80" s="64"/>
      <c r="CC80" s="14"/>
      <c r="CD80" s="149"/>
      <c r="CE80" s="14"/>
      <c r="CF80" s="65" t="str">
        <f t="shared" ref="CF80" si="173">IF(CD80&lt;&gt;"",CD80/$J$7,"")</f>
        <v/>
      </c>
      <c r="CH80" s="90" t="str">
        <f t="shared" ref="CH80" si="174">IF(CD80&lt;&gt;0,(CD80/CB80)-1,"")</f>
        <v/>
      </c>
      <c r="CJ80" s="64"/>
      <c r="CK80" s="14"/>
      <c r="CL80" s="149"/>
      <c r="CM80" s="14"/>
      <c r="CN80" s="65" t="str">
        <f t="shared" ref="CN80" si="175">IF(CL80&lt;&gt;"",CL80/$J$7,"")</f>
        <v/>
      </c>
      <c r="CP80" s="90" t="str">
        <f t="shared" ref="CP80" si="176">IF(CL80&lt;&gt;0,(CL80/CJ80)-1,"")</f>
        <v/>
      </c>
      <c r="CR80" s="64"/>
      <c r="CS80" s="14"/>
      <c r="CT80" s="149"/>
      <c r="CU80" s="14"/>
      <c r="CV80" s="65" t="str">
        <f t="shared" ref="CV80" si="177">IF(CT80&lt;&gt;"",CT80/$J$7,"")</f>
        <v/>
      </c>
      <c r="CX80" s="90" t="str">
        <f t="shared" ref="CX80" si="178">IF(CT80&lt;&gt;0,(CT80/CR80)-1,"")</f>
        <v/>
      </c>
    </row>
    <row r="81" spans="2:102" ht="9" customHeight="1" thickBot="1" x14ac:dyDescent="0.35">
      <c r="C81" s="39"/>
      <c r="F81" s="17"/>
      <c r="H81" s="36"/>
      <c r="J81" s="36"/>
      <c r="L81" s="31"/>
      <c r="N81" s="31"/>
      <c r="P81" s="36"/>
      <c r="Q81" s="14"/>
      <c r="R81" s="36"/>
      <c r="S81" s="14"/>
      <c r="T81" s="31"/>
      <c r="V81" s="31"/>
      <c r="X81" s="36"/>
      <c r="Y81" s="14"/>
      <c r="Z81" s="36"/>
      <c r="AA81" s="14"/>
      <c r="AB81" s="31"/>
      <c r="AC81" s="14"/>
      <c r="AD81" s="31"/>
      <c r="AF81" s="36"/>
      <c r="AG81" s="14"/>
      <c r="AH81" s="36"/>
      <c r="AI81" s="14"/>
      <c r="AJ81" s="31"/>
      <c r="AL81" s="31"/>
      <c r="AN81" s="36"/>
      <c r="AO81" s="14"/>
      <c r="AP81" s="36"/>
      <c r="AQ81" s="14"/>
      <c r="AR81" s="31"/>
      <c r="AT81" s="31"/>
      <c r="AV81" s="36"/>
      <c r="AW81" s="14"/>
      <c r="AX81" s="36"/>
      <c r="AY81" s="14"/>
      <c r="AZ81" s="31"/>
      <c r="BB81" s="31"/>
      <c r="BD81" s="36"/>
      <c r="BE81" s="14"/>
      <c r="BF81" s="36"/>
      <c r="BG81" s="14"/>
      <c r="BH81" s="31"/>
      <c r="BJ81" s="31"/>
      <c r="BL81" s="36"/>
      <c r="BM81" s="14"/>
      <c r="BN81" s="36"/>
      <c r="BO81" s="14"/>
      <c r="BP81" s="31"/>
      <c r="BR81" s="31"/>
      <c r="BT81" s="36"/>
      <c r="BU81" s="14"/>
      <c r="BV81" s="36"/>
      <c r="BW81" s="14"/>
      <c r="BX81" s="31"/>
      <c r="BZ81" s="31"/>
      <c r="CB81" s="36"/>
      <c r="CC81" s="14"/>
      <c r="CD81" s="36"/>
      <c r="CE81" s="14"/>
      <c r="CF81" s="31"/>
      <c r="CH81" s="31"/>
      <c r="CJ81" s="36"/>
      <c r="CK81" s="14"/>
      <c r="CL81" s="36"/>
      <c r="CM81" s="14"/>
      <c r="CN81" s="31"/>
      <c r="CP81" s="31"/>
      <c r="CR81" s="36"/>
      <c r="CS81" s="14"/>
      <c r="CT81" s="36"/>
      <c r="CU81" s="14"/>
      <c r="CV81" s="31"/>
      <c r="CX81" s="31"/>
    </row>
    <row r="82" spans="2:102" ht="16.2" thickBot="1" x14ac:dyDescent="0.35">
      <c r="B82" s="208" t="s">
        <v>127</v>
      </c>
      <c r="C82" s="209"/>
      <c r="D82" s="29" t="e">
        <f>IF(SUM(D83:D89)&lt;&gt;"",SUM(D83:D89),"")</f>
        <v>#DIV/0!</v>
      </c>
      <c r="E82" s="127">
        <f>IF(SUM(E83:E89)&lt;&gt;"",SUM(E83:E89),"")</f>
        <v>0</v>
      </c>
      <c r="F82" s="76">
        <f>IF(SUM(F83:F89)&lt;&gt;"",SUM(F83:F89),"")</f>
        <v>0</v>
      </c>
      <c r="H82" s="29">
        <f>IF(SUM(H83:H89)&lt;&gt;"",SUM(H83:H89),"")</f>
        <v>0</v>
      </c>
      <c r="J82" s="29">
        <f>IF(SUM(J83:J89)&lt;&gt;"",SUM(J83:J89),"")</f>
        <v>0</v>
      </c>
      <c r="L82" s="94" t="str">
        <f>IF(SUM(L83:L88)&lt;&gt;0,SUM(L83:L88),"")</f>
        <v/>
      </c>
      <c r="N82" s="30" t="e">
        <f>IF(J82&lt;&gt;"",(J82/$D82)-1,"")</f>
        <v>#DIV/0!</v>
      </c>
      <c r="P82" s="29">
        <f>IF(SUM(P83:P89)&lt;&gt;"",SUM(P83:P89),"")</f>
        <v>0</v>
      </c>
      <c r="Q82" s="14"/>
      <c r="R82" s="29">
        <f>IF(SUM(R83:R89)&lt;&gt;"",SUM(R83:R89),"")</f>
        <v>0</v>
      </c>
      <c r="S82" s="14"/>
      <c r="T82" s="94" t="str">
        <f>IF(SUM(T83:T88)&lt;&gt;0,SUM(T83:T88),"")</f>
        <v/>
      </c>
      <c r="V82" s="94" t="str">
        <f t="shared" ref="V82:V84" si="179">IF(R82&lt;&gt;0,(R82/P82)-1,"")</f>
        <v/>
      </c>
      <c r="X82" s="29">
        <f>IF(SUM(X83:X89)&lt;&gt;"",SUM(X83:X89),"")</f>
        <v>0</v>
      </c>
      <c r="Y82" s="14"/>
      <c r="Z82" s="29">
        <f>IF(SUM(Z83:Z89)&lt;&gt;"",SUM(Z83:Z89),"")</f>
        <v>0</v>
      </c>
      <c r="AA82" s="14"/>
      <c r="AB82" s="94" t="str">
        <f>IF(SUM(AB83:AB88)&lt;&gt;0,SUM(AB83:AB88),"")</f>
        <v/>
      </c>
      <c r="AC82" s="14"/>
      <c r="AD82" s="94" t="str">
        <f t="shared" ref="AD82:AD84" si="180">IF(Z82&lt;&gt;0,(Z82/X82)-1,"")</f>
        <v/>
      </c>
      <c r="AF82" s="29">
        <f>IF(SUM(AF83:AF89)&lt;&gt;"",SUM(AF83:AF89),"")</f>
        <v>0</v>
      </c>
      <c r="AG82" s="14"/>
      <c r="AH82" s="29">
        <f>IF(SUM(AH83:AH89)&lt;&gt;"",SUM(AH83:AH89),"")</f>
        <v>0</v>
      </c>
      <c r="AI82" s="14"/>
      <c r="AJ82" s="94" t="str">
        <f>IF(SUM(AJ83:AJ88)&lt;&gt;0,SUM(AJ83:AJ88),"")</f>
        <v/>
      </c>
      <c r="AL82" s="94" t="str">
        <f t="shared" ref="AL82:AL84" si="181">IF(AH82&lt;&gt;0,(AH82/AF82)-1,"")</f>
        <v/>
      </c>
      <c r="AN82" s="29">
        <f>IF(SUM(AN83:AN89)&lt;&gt;"",SUM(AN83:AN89),"")</f>
        <v>0</v>
      </c>
      <c r="AO82" s="14"/>
      <c r="AP82" s="29">
        <f>IF(SUM(AP83:AP89)&lt;&gt;"",SUM(AP83:AP89),"")</f>
        <v>0</v>
      </c>
      <c r="AQ82" s="14"/>
      <c r="AR82" s="94" t="str">
        <f>IF(SUM(AR83:AR88)&lt;&gt;0,SUM(AR83:AR88),"")</f>
        <v/>
      </c>
      <c r="AT82" s="94" t="str">
        <f t="shared" ref="AT82:AT84" si="182">IF(AP82&lt;&gt;0,(AP82/AN82)-1,"")</f>
        <v/>
      </c>
      <c r="AV82" s="29">
        <f>IF(SUM(AV83:AV89)&lt;&gt;"",SUM(AV83:AV89),"")</f>
        <v>0</v>
      </c>
      <c r="AW82" s="14"/>
      <c r="AX82" s="29">
        <f>IF(SUM(AX83:AX89)&lt;&gt;"",SUM(AX83:AX89),"")</f>
        <v>0</v>
      </c>
      <c r="AY82" s="14"/>
      <c r="AZ82" s="94" t="str">
        <f>IF(SUM(AZ83:AZ88)&lt;&gt;0,SUM(AZ83:AZ88),"")</f>
        <v/>
      </c>
      <c r="BB82" s="94" t="str">
        <f t="shared" ref="BB82:BB84" si="183">IF(AX82&lt;&gt;0,(AX82/AV82)-1,"")</f>
        <v/>
      </c>
      <c r="BD82" s="29">
        <f>IF(SUM(BD83:BD89)&lt;&gt;"",SUM(BD83:BD89),"")</f>
        <v>0</v>
      </c>
      <c r="BE82" s="14"/>
      <c r="BF82" s="29">
        <f>IF(SUM(BF83:BF89)&lt;&gt;"",SUM(BF83:BF89),"")</f>
        <v>0</v>
      </c>
      <c r="BG82" s="14"/>
      <c r="BH82" s="94" t="str">
        <f>IF(SUM(BH83:BH88)&lt;&gt;0,SUM(BH83:BH88),"")</f>
        <v/>
      </c>
      <c r="BJ82" s="94" t="str">
        <f t="shared" ref="BJ82:BJ84" si="184">IF(BF82&lt;&gt;0,(BF82/BD82)-1,"")</f>
        <v/>
      </c>
      <c r="BL82" s="29">
        <f>IF(SUM(BL83:BL89)&lt;&gt;"",SUM(BL83:BL89),"")</f>
        <v>0</v>
      </c>
      <c r="BM82" s="14"/>
      <c r="BN82" s="29">
        <f>IF(SUM(BN83:BN89)&lt;&gt;"",SUM(BN83:BN89),"")</f>
        <v>0</v>
      </c>
      <c r="BO82" s="14"/>
      <c r="BP82" s="94" t="str">
        <f>IF(SUM(BP83:BP88)&lt;&gt;0,SUM(BP83:BP88),"")</f>
        <v/>
      </c>
      <c r="BR82" s="94" t="str">
        <f t="shared" ref="BR82:BR84" si="185">IF(BN82&lt;&gt;0,(BN82/BL82)-1,"")</f>
        <v/>
      </c>
      <c r="BT82" s="29">
        <f>IF(SUM(BT83:BT89)&lt;&gt;"",SUM(BT83:BT89),"")</f>
        <v>0</v>
      </c>
      <c r="BU82" s="14"/>
      <c r="BV82" s="29">
        <f>IF(SUM(BV83:BV89)&lt;&gt;"",SUM(BV83:BV89),"")</f>
        <v>0</v>
      </c>
      <c r="BW82" s="14"/>
      <c r="BX82" s="94" t="str">
        <f>IF(SUM(BX83:BX88)&lt;&gt;0,SUM(BX83:BX88),"")</f>
        <v/>
      </c>
      <c r="BZ82" s="94" t="str">
        <f t="shared" ref="BZ82:BZ84" si="186">IF(BV82&lt;&gt;0,(BV82/BT82)-1,"")</f>
        <v/>
      </c>
      <c r="CB82" s="29">
        <f>IF(SUM(CB83:CB89)&lt;&gt;"",SUM(CB83:CB89),"")</f>
        <v>0</v>
      </c>
      <c r="CC82" s="14"/>
      <c r="CD82" s="29">
        <f>IF(SUM(CD83:CD89)&lt;&gt;"",SUM(CD83:CD89),"")</f>
        <v>0</v>
      </c>
      <c r="CE82" s="14"/>
      <c r="CF82" s="94" t="str">
        <f>IF(SUM(CF83:CF88)&lt;&gt;0,SUM(CF83:CF88),"")</f>
        <v/>
      </c>
      <c r="CH82" s="94" t="str">
        <f t="shared" ref="CH82:CH84" si="187">IF(CD82&lt;&gt;0,(CD82/CB82)-1,"")</f>
        <v/>
      </c>
      <c r="CJ82" s="29">
        <f>IF(SUM(CJ83:CJ89)&lt;&gt;"",SUM(CJ83:CJ89),"")</f>
        <v>0</v>
      </c>
      <c r="CK82" s="14"/>
      <c r="CL82" s="29">
        <f>IF(SUM(CL83:CL89)&lt;&gt;"",SUM(CL83:CL89),"")</f>
        <v>0</v>
      </c>
      <c r="CM82" s="14"/>
      <c r="CN82" s="94" t="str">
        <f>IF(SUM(CN83:CN88)&lt;&gt;0,SUM(CN83:CN88),"")</f>
        <v/>
      </c>
      <c r="CP82" s="94" t="str">
        <f t="shared" ref="CP82:CP84" si="188">IF(CL82&lt;&gt;0,(CL82/CJ82)-1,"")</f>
        <v/>
      </c>
      <c r="CR82" s="29">
        <f>IF(SUM(CR83:CR89)&lt;&gt;"",SUM(CR83:CR89),"")</f>
        <v>0</v>
      </c>
      <c r="CS82" s="14"/>
      <c r="CT82" s="29">
        <f>IF(SUM(CT83:CT89)&lt;&gt;"",SUM(CT83:CT89),"")</f>
        <v>0</v>
      </c>
      <c r="CU82" s="14"/>
      <c r="CV82" s="94" t="str">
        <f>IF(SUM(CV83:CV88)&lt;&gt;0,SUM(CV83:CV88),"")</f>
        <v/>
      </c>
      <c r="CX82" s="94" t="str">
        <f t="shared" ref="CX82:CX84" si="189">IF(CT82&lt;&gt;0,(CT82/CR82)-1,"")</f>
        <v/>
      </c>
    </row>
    <row r="83" spans="2:102" ht="15.6" x14ac:dyDescent="0.3">
      <c r="B83" s="98"/>
      <c r="C83" s="21" t="s">
        <v>102</v>
      </c>
      <c r="D83" s="78" t="e">
        <f t="shared" ref="D83:D88" si="190">IF(AVERAGE(J83,R83,Z83,AH83,AP83,AX83,BF83,BN83,BV83,CD83,CL83,CT83)&lt;&gt;"",AVERAGE(J83,R83,Z83,AH83,AP83,AX83,BF83,BN83,BV83,CD83,CL83,CT83),"")</f>
        <v>#DIV/0!</v>
      </c>
      <c r="E83" s="130">
        <f t="shared" ref="E83:E88" si="191">IF(SUM(J83,R83,Z83,AH83,AP83,AX83,BF83,BN83,BV83,CD83,CL83,CT83)&lt;&gt;"",SUM(J83,R83,Z83,AH83,AP83,AX83,BF83,BN83,BV83,CD83,CL83,CT83),"")</f>
        <v>0</v>
      </c>
      <c r="F83" s="80" t="str">
        <f t="shared" ref="F83:F88" si="192">IF(E83&lt;&gt;0,E83/E$7,"")</f>
        <v/>
      </c>
      <c r="H83" s="35"/>
      <c r="J83" s="147"/>
      <c r="L83" s="28" t="str">
        <f>IF(J83&lt;&gt;"",J83/J$7,"")</f>
        <v/>
      </c>
      <c r="N83" s="90" t="str">
        <f t="shared" ref="N83:N88" si="193">IF(J83&lt;&gt;0,(J83/D83)-1,"")</f>
        <v/>
      </c>
      <c r="P83" s="35"/>
      <c r="Q83" s="14"/>
      <c r="R83" s="147"/>
      <c r="S83" s="14"/>
      <c r="T83" s="28" t="str">
        <f>IF(R83&lt;&gt;"",R83/R$7,"")</f>
        <v/>
      </c>
      <c r="V83" s="90" t="str">
        <f t="shared" si="179"/>
        <v/>
      </c>
      <c r="X83" s="35"/>
      <c r="Y83" s="14"/>
      <c r="Z83" s="147"/>
      <c r="AA83" s="14"/>
      <c r="AB83" s="28" t="str">
        <f>IF(Z83&lt;&gt;"",Z83/Z$7,"")</f>
        <v/>
      </c>
      <c r="AC83" s="14"/>
      <c r="AD83" s="90" t="str">
        <f t="shared" si="180"/>
        <v/>
      </c>
      <c r="AF83" s="35"/>
      <c r="AG83" s="14"/>
      <c r="AH83" s="147"/>
      <c r="AI83" s="14"/>
      <c r="AJ83" s="28" t="str">
        <f>IF(AH83&lt;&gt;"",AH83/AH$7,"")</f>
        <v/>
      </c>
      <c r="AL83" s="90" t="str">
        <f t="shared" si="181"/>
        <v/>
      </c>
      <c r="AN83" s="35"/>
      <c r="AO83" s="14"/>
      <c r="AP83" s="147"/>
      <c r="AQ83" s="14"/>
      <c r="AR83" s="28" t="str">
        <f>IF(AP83&lt;&gt;"",AP83/AP$7,"")</f>
        <v/>
      </c>
      <c r="AT83" s="90" t="str">
        <f t="shared" si="182"/>
        <v/>
      </c>
      <c r="AV83" s="35"/>
      <c r="AW83" s="14"/>
      <c r="AX83" s="147"/>
      <c r="AY83" s="14"/>
      <c r="AZ83" s="28" t="str">
        <f>IF(AX83&lt;&gt;"",AX83/AX$7,"")</f>
        <v/>
      </c>
      <c r="BB83" s="90" t="str">
        <f t="shared" si="183"/>
        <v/>
      </c>
      <c r="BD83" s="35"/>
      <c r="BE83" s="14"/>
      <c r="BF83" s="147"/>
      <c r="BG83" s="14"/>
      <c r="BH83" s="28" t="str">
        <f>IF(BF83&lt;&gt;"",BF83/BF$7,"")</f>
        <v/>
      </c>
      <c r="BJ83" s="90" t="str">
        <f t="shared" si="184"/>
        <v/>
      </c>
      <c r="BL83" s="35"/>
      <c r="BM83" s="14"/>
      <c r="BN83" s="147"/>
      <c r="BO83" s="14"/>
      <c r="BP83" s="28" t="str">
        <f>IF(BN83&lt;&gt;"",BN83/BN$7,"")</f>
        <v/>
      </c>
      <c r="BR83" s="90" t="str">
        <f t="shared" si="185"/>
        <v/>
      </c>
      <c r="BT83" s="35"/>
      <c r="BU83" s="14"/>
      <c r="BV83" s="147"/>
      <c r="BW83" s="14"/>
      <c r="BX83" s="28" t="str">
        <f>IF(BV83&lt;&gt;"",BV83/BV$7,"")</f>
        <v/>
      </c>
      <c r="BZ83" s="90" t="str">
        <f t="shared" si="186"/>
        <v/>
      </c>
      <c r="CB83" s="35"/>
      <c r="CC83" s="14"/>
      <c r="CD83" s="147"/>
      <c r="CE83" s="14"/>
      <c r="CF83" s="28" t="str">
        <f>IF(CD83&lt;&gt;"",CD83/CD$7,"")</f>
        <v/>
      </c>
      <c r="CH83" s="90" t="str">
        <f t="shared" si="187"/>
        <v/>
      </c>
      <c r="CJ83" s="35"/>
      <c r="CK83" s="14"/>
      <c r="CL83" s="147"/>
      <c r="CM83" s="14"/>
      <c r="CN83" s="28" t="str">
        <f>IF(CL83&lt;&gt;"",CL83/CL$7,"")</f>
        <v/>
      </c>
      <c r="CP83" s="90" t="str">
        <f t="shared" si="188"/>
        <v/>
      </c>
      <c r="CR83" s="35"/>
      <c r="CS83" s="14"/>
      <c r="CT83" s="147"/>
      <c r="CU83" s="14"/>
      <c r="CV83" s="28" t="str">
        <f>IF(CT83&lt;&gt;"",CT83/CT$7,"")</f>
        <v/>
      </c>
      <c r="CX83" s="90" t="str">
        <f t="shared" si="189"/>
        <v/>
      </c>
    </row>
    <row r="84" spans="2:102" ht="15.6" x14ac:dyDescent="0.3">
      <c r="B84" s="51"/>
      <c r="C84" s="21" t="s">
        <v>145</v>
      </c>
      <c r="D84" s="70" t="e">
        <f t="shared" si="190"/>
        <v>#DIV/0!</v>
      </c>
      <c r="E84" s="130">
        <f t="shared" si="191"/>
        <v>0</v>
      </c>
      <c r="F84" s="73" t="str">
        <f t="shared" si="192"/>
        <v/>
      </c>
      <c r="H84" s="99"/>
      <c r="J84" s="148"/>
      <c r="L84" s="28" t="str">
        <f>IF(J84&lt;&gt;"",J84/J$7,"")</f>
        <v/>
      </c>
      <c r="N84" s="90" t="str">
        <f t="shared" si="193"/>
        <v/>
      </c>
      <c r="P84" s="99"/>
      <c r="Q84" s="14"/>
      <c r="R84" s="148"/>
      <c r="S84" s="14"/>
      <c r="T84" s="28" t="str">
        <f>IF(R84&lt;&gt;"",R84/R$7,"")</f>
        <v/>
      </c>
      <c r="V84" s="90" t="str">
        <f t="shared" si="179"/>
        <v/>
      </c>
      <c r="X84" s="99"/>
      <c r="Y84" s="14"/>
      <c r="Z84" s="148"/>
      <c r="AA84" s="14"/>
      <c r="AB84" s="28" t="str">
        <f>IF(Z84&lt;&gt;"",Z84/Z$7,"")</f>
        <v/>
      </c>
      <c r="AC84" s="14"/>
      <c r="AD84" s="90" t="str">
        <f t="shared" si="180"/>
        <v/>
      </c>
      <c r="AF84" s="99"/>
      <c r="AG84" s="14"/>
      <c r="AH84" s="148"/>
      <c r="AI84" s="14"/>
      <c r="AJ84" s="28" t="str">
        <f>IF(AH84&lt;&gt;"",AH84/AH$7,"")</f>
        <v/>
      </c>
      <c r="AL84" s="90" t="str">
        <f t="shared" si="181"/>
        <v/>
      </c>
      <c r="AN84" s="99"/>
      <c r="AO84" s="14"/>
      <c r="AP84" s="148"/>
      <c r="AQ84" s="14"/>
      <c r="AR84" s="28" t="str">
        <f>IF(AP84&lt;&gt;"",AP84/AP$7,"")</f>
        <v/>
      </c>
      <c r="AT84" s="90" t="str">
        <f t="shared" si="182"/>
        <v/>
      </c>
      <c r="AV84" s="99"/>
      <c r="AW84" s="14"/>
      <c r="AX84" s="148"/>
      <c r="AY84" s="14"/>
      <c r="AZ84" s="28" t="str">
        <f>IF(AX84&lt;&gt;"",AX84/AX$7,"")</f>
        <v/>
      </c>
      <c r="BB84" s="90" t="str">
        <f t="shared" si="183"/>
        <v/>
      </c>
      <c r="BD84" s="99"/>
      <c r="BE84" s="14"/>
      <c r="BF84" s="148"/>
      <c r="BG84" s="14"/>
      <c r="BH84" s="28" t="str">
        <f>IF(BF84&lt;&gt;"",BF84/BF$7,"")</f>
        <v/>
      </c>
      <c r="BJ84" s="90" t="str">
        <f t="shared" si="184"/>
        <v/>
      </c>
      <c r="BL84" s="99"/>
      <c r="BM84" s="14"/>
      <c r="BN84" s="148"/>
      <c r="BO84" s="14"/>
      <c r="BP84" s="28" t="str">
        <f>IF(BN84&lt;&gt;"",BN84/BN$7,"")</f>
        <v/>
      </c>
      <c r="BR84" s="90" t="str">
        <f t="shared" si="185"/>
        <v/>
      </c>
      <c r="BT84" s="99"/>
      <c r="BU84" s="14"/>
      <c r="BV84" s="148"/>
      <c r="BW84" s="14"/>
      <c r="BX84" s="28" t="str">
        <f>IF(BV84&lt;&gt;"",BV84/BV$7,"")</f>
        <v/>
      </c>
      <c r="BZ84" s="90" t="str">
        <f t="shared" si="186"/>
        <v/>
      </c>
      <c r="CB84" s="99"/>
      <c r="CC84" s="14"/>
      <c r="CD84" s="148"/>
      <c r="CE84" s="14"/>
      <c r="CF84" s="28" t="str">
        <f>IF(CD84&lt;&gt;"",CD84/CD$7,"")</f>
        <v/>
      </c>
      <c r="CH84" s="90" t="str">
        <f t="shared" si="187"/>
        <v/>
      </c>
      <c r="CJ84" s="99"/>
      <c r="CK84" s="14"/>
      <c r="CL84" s="148"/>
      <c r="CM84" s="14"/>
      <c r="CN84" s="28" t="str">
        <f>IF(CL84&lt;&gt;"",CL84/CL$7,"")</f>
        <v/>
      </c>
      <c r="CP84" s="90" t="str">
        <f t="shared" si="188"/>
        <v/>
      </c>
      <c r="CR84" s="99"/>
      <c r="CS84" s="14"/>
      <c r="CT84" s="148"/>
      <c r="CU84" s="14"/>
      <c r="CV84" s="28" t="str">
        <f>IF(CT84&lt;&gt;"",CT84/CT$7,"")</f>
        <v/>
      </c>
      <c r="CX84" s="90" t="str">
        <f t="shared" si="189"/>
        <v/>
      </c>
    </row>
    <row r="85" spans="2:102" ht="15.6" x14ac:dyDescent="0.3">
      <c r="B85" s="51"/>
      <c r="C85" s="21" t="s">
        <v>107</v>
      </c>
      <c r="D85" s="70" t="e">
        <f t="shared" si="190"/>
        <v>#DIV/0!</v>
      </c>
      <c r="E85" s="130">
        <f t="shared" si="191"/>
        <v>0</v>
      </c>
      <c r="F85" s="73" t="str">
        <f t="shared" si="192"/>
        <v/>
      </c>
      <c r="H85" s="99"/>
      <c r="J85" s="148"/>
      <c r="L85" s="28" t="str">
        <f t="shared" ref="L85:L88" si="194">IF(J85&lt;&gt;"",J85/J$7,"")</f>
        <v/>
      </c>
      <c r="N85" s="90" t="str">
        <f t="shared" si="193"/>
        <v/>
      </c>
      <c r="P85" s="99"/>
      <c r="Q85" s="14"/>
      <c r="R85" s="148"/>
      <c r="S85" s="14"/>
      <c r="T85" s="28" t="str">
        <f t="shared" ref="T85:T88" si="195">IF(R85&lt;&gt;"",R85/R$7,"")</f>
        <v/>
      </c>
      <c r="V85" s="90"/>
      <c r="X85" s="99"/>
      <c r="Y85" s="14"/>
      <c r="Z85" s="148"/>
      <c r="AA85" s="14"/>
      <c r="AB85" s="28" t="str">
        <f t="shared" ref="AB85:AB88" si="196">IF(Z85&lt;&gt;"",Z85/Z$7,"")</f>
        <v/>
      </c>
      <c r="AC85" s="14"/>
      <c r="AD85" s="90"/>
      <c r="AF85" s="99"/>
      <c r="AG85" s="14"/>
      <c r="AH85" s="148"/>
      <c r="AI85" s="14"/>
      <c r="AJ85" s="28" t="str">
        <f t="shared" ref="AJ85:AJ88" si="197">IF(AH85&lt;&gt;"",AH85/AH$7,"")</f>
        <v/>
      </c>
      <c r="AL85" s="90"/>
      <c r="AN85" s="99"/>
      <c r="AO85" s="14"/>
      <c r="AP85" s="148"/>
      <c r="AQ85" s="14"/>
      <c r="AR85" s="28" t="str">
        <f t="shared" ref="AR85:AR88" si="198">IF(AP85&lt;&gt;"",AP85/AP$7,"")</f>
        <v/>
      </c>
      <c r="AT85" s="90"/>
      <c r="AV85" s="99"/>
      <c r="AW85" s="14"/>
      <c r="AX85" s="148"/>
      <c r="AY85" s="14"/>
      <c r="AZ85" s="28" t="str">
        <f t="shared" ref="AZ85:AZ88" si="199">IF(AX85&lt;&gt;"",AX85/AX$7,"")</f>
        <v/>
      </c>
      <c r="BB85" s="90"/>
      <c r="BD85" s="99"/>
      <c r="BE85" s="14"/>
      <c r="BF85" s="148"/>
      <c r="BG85" s="14"/>
      <c r="BH85" s="28" t="str">
        <f t="shared" ref="BH85:BH88" si="200">IF(BF85&lt;&gt;"",BF85/BF$7,"")</f>
        <v/>
      </c>
      <c r="BJ85" s="90"/>
      <c r="BL85" s="99"/>
      <c r="BM85" s="14"/>
      <c r="BN85" s="148"/>
      <c r="BO85" s="14"/>
      <c r="BP85" s="28" t="str">
        <f t="shared" ref="BP85:BP88" si="201">IF(BN85&lt;&gt;"",BN85/BN$7,"")</f>
        <v/>
      </c>
      <c r="BR85" s="90"/>
      <c r="BT85" s="99"/>
      <c r="BU85" s="14"/>
      <c r="BV85" s="148"/>
      <c r="BW85" s="14"/>
      <c r="BX85" s="28" t="str">
        <f t="shared" ref="BX85:BX88" si="202">IF(BV85&lt;&gt;"",BV85/BV$7,"")</f>
        <v/>
      </c>
      <c r="BZ85" s="90"/>
      <c r="CB85" s="99"/>
      <c r="CC85" s="14"/>
      <c r="CD85" s="148"/>
      <c r="CE85" s="14"/>
      <c r="CF85" s="28" t="str">
        <f t="shared" ref="CF85:CF88" si="203">IF(CD85&lt;&gt;"",CD85/CD$7,"")</f>
        <v/>
      </c>
      <c r="CH85" s="90"/>
      <c r="CJ85" s="99"/>
      <c r="CK85" s="14"/>
      <c r="CL85" s="148"/>
      <c r="CM85" s="14"/>
      <c r="CN85" s="28" t="str">
        <f t="shared" ref="CN85:CN88" si="204">IF(CL85&lt;&gt;"",CL85/CL$7,"")</f>
        <v/>
      </c>
      <c r="CP85" s="90"/>
      <c r="CR85" s="99"/>
      <c r="CS85" s="14"/>
      <c r="CT85" s="148"/>
      <c r="CU85" s="14"/>
      <c r="CV85" s="28" t="str">
        <f t="shared" ref="CV85:CV88" si="205">IF(CT85&lt;&gt;"",CT85/CT$7,"")</f>
        <v/>
      </c>
      <c r="CX85" s="90"/>
    </row>
    <row r="86" spans="2:102" ht="15.6" x14ac:dyDescent="0.3">
      <c r="B86" s="51"/>
      <c r="C86" s="21" t="s">
        <v>146</v>
      </c>
      <c r="D86" s="70" t="e">
        <f t="shared" si="190"/>
        <v>#DIV/0!</v>
      </c>
      <c r="E86" s="130">
        <f t="shared" si="191"/>
        <v>0</v>
      </c>
      <c r="F86" s="73" t="str">
        <f t="shared" si="192"/>
        <v/>
      </c>
      <c r="H86" s="99"/>
      <c r="J86" s="148"/>
      <c r="L86" s="28" t="str">
        <f t="shared" si="194"/>
        <v/>
      </c>
      <c r="N86" s="90" t="str">
        <f t="shared" si="193"/>
        <v/>
      </c>
      <c r="P86" s="99"/>
      <c r="Q86" s="14"/>
      <c r="R86" s="148"/>
      <c r="S86" s="14"/>
      <c r="T86" s="28" t="str">
        <f t="shared" si="195"/>
        <v/>
      </c>
      <c r="V86" s="90"/>
      <c r="X86" s="99"/>
      <c r="Y86" s="14"/>
      <c r="Z86" s="148"/>
      <c r="AA86" s="14"/>
      <c r="AB86" s="28" t="str">
        <f t="shared" si="196"/>
        <v/>
      </c>
      <c r="AC86" s="14"/>
      <c r="AD86" s="90"/>
      <c r="AF86" s="99"/>
      <c r="AG86" s="14"/>
      <c r="AH86" s="148"/>
      <c r="AI86" s="14"/>
      <c r="AJ86" s="28" t="str">
        <f t="shared" si="197"/>
        <v/>
      </c>
      <c r="AL86" s="90"/>
      <c r="AN86" s="99"/>
      <c r="AO86" s="14"/>
      <c r="AP86" s="148"/>
      <c r="AQ86" s="14"/>
      <c r="AR86" s="28" t="str">
        <f t="shared" si="198"/>
        <v/>
      </c>
      <c r="AT86" s="90"/>
      <c r="AV86" s="99"/>
      <c r="AW86" s="14"/>
      <c r="AX86" s="148"/>
      <c r="AY86" s="14"/>
      <c r="AZ86" s="28" t="str">
        <f t="shared" si="199"/>
        <v/>
      </c>
      <c r="BB86" s="90"/>
      <c r="BD86" s="99"/>
      <c r="BE86" s="14"/>
      <c r="BF86" s="148"/>
      <c r="BG86" s="14"/>
      <c r="BH86" s="28" t="str">
        <f t="shared" si="200"/>
        <v/>
      </c>
      <c r="BJ86" s="90"/>
      <c r="BL86" s="99"/>
      <c r="BM86" s="14"/>
      <c r="BN86" s="148"/>
      <c r="BO86" s="14"/>
      <c r="BP86" s="28" t="str">
        <f t="shared" si="201"/>
        <v/>
      </c>
      <c r="BR86" s="90"/>
      <c r="BT86" s="99"/>
      <c r="BU86" s="14"/>
      <c r="BV86" s="148"/>
      <c r="BW86" s="14"/>
      <c r="BX86" s="28" t="str">
        <f t="shared" si="202"/>
        <v/>
      </c>
      <c r="BZ86" s="90"/>
      <c r="CB86" s="99"/>
      <c r="CC86" s="14"/>
      <c r="CD86" s="148"/>
      <c r="CE86" s="14"/>
      <c r="CF86" s="28" t="str">
        <f t="shared" si="203"/>
        <v/>
      </c>
      <c r="CH86" s="90"/>
      <c r="CJ86" s="99"/>
      <c r="CK86" s="14"/>
      <c r="CL86" s="148"/>
      <c r="CM86" s="14"/>
      <c r="CN86" s="28" t="str">
        <f t="shared" si="204"/>
        <v/>
      </c>
      <c r="CP86" s="90"/>
      <c r="CR86" s="99"/>
      <c r="CS86" s="14"/>
      <c r="CT86" s="148"/>
      <c r="CU86" s="14"/>
      <c r="CV86" s="28" t="str">
        <f t="shared" si="205"/>
        <v/>
      </c>
      <c r="CX86" s="90"/>
    </row>
    <row r="87" spans="2:102" ht="15.6" x14ac:dyDescent="0.3">
      <c r="B87" s="51"/>
      <c r="C87" s="21" t="s">
        <v>115</v>
      </c>
      <c r="D87" s="70" t="e">
        <f t="shared" si="190"/>
        <v>#DIV/0!</v>
      </c>
      <c r="E87" s="130">
        <f t="shared" si="191"/>
        <v>0</v>
      </c>
      <c r="F87" s="73" t="str">
        <f t="shared" si="192"/>
        <v/>
      </c>
      <c r="H87" s="99"/>
      <c r="J87" s="148"/>
      <c r="L87" s="28" t="str">
        <f t="shared" si="194"/>
        <v/>
      </c>
      <c r="N87" s="90" t="str">
        <f t="shared" si="193"/>
        <v/>
      </c>
      <c r="P87" s="99"/>
      <c r="Q87" s="14"/>
      <c r="R87" s="148"/>
      <c r="S87" s="14"/>
      <c r="T87" s="28" t="str">
        <f t="shared" si="195"/>
        <v/>
      </c>
      <c r="V87" s="90"/>
      <c r="X87" s="99"/>
      <c r="Y87" s="14"/>
      <c r="Z87" s="148"/>
      <c r="AA87" s="14"/>
      <c r="AB87" s="28" t="str">
        <f t="shared" si="196"/>
        <v/>
      </c>
      <c r="AC87" s="14"/>
      <c r="AD87" s="90"/>
      <c r="AF87" s="99"/>
      <c r="AG87" s="14"/>
      <c r="AH87" s="148"/>
      <c r="AI87" s="14"/>
      <c r="AJ87" s="28" t="str">
        <f t="shared" si="197"/>
        <v/>
      </c>
      <c r="AL87" s="90"/>
      <c r="AN87" s="99"/>
      <c r="AO87" s="14"/>
      <c r="AP87" s="148"/>
      <c r="AQ87" s="14"/>
      <c r="AR87" s="28" t="str">
        <f t="shared" si="198"/>
        <v/>
      </c>
      <c r="AT87" s="90"/>
      <c r="AV87" s="99"/>
      <c r="AW87" s="14"/>
      <c r="AX87" s="148"/>
      <c r="AY87" s="14"/>
      <c r="AZ87" s="28" t="str">
        <f t="shared" si="199"/>
        <v/>
      </c>
      <c r="BB87" s="90"/>
      <c r="BD87" s="99"/>
      <c r="BE87" s="14"/>
      <c r="BF87" s="148"/>
      <c r="BG87" s="14"/>
      <c r="BH87" s="28" t="str">
        <f t="shared" si="200"/>
        <v/>
      </c>
      <c r="BJ87" s="90"/>
      <c r="BL87" s="99"/>
      <c r="BM87" s="14"/>
      <c r="BN87" s="148"/>
      <c r="BO87" s="14"/>
      <c r="BP87" s="28" t="str">
        <f t="shared" si="201"/>
        <v/>
      </c>
      <c r="BR87" s="90"/>
      <c r="BT87" s="99"/>
      <c r="BU87" s="14"/>
      <c r="BV87" s="148"/>
      <c r="BW87" s="14"/>
      <c r="BX87" s="28" t="str">
        <f t="shared" si="202"/>
        <v/>
      </c>
      <c r="BZ87" s="90"/>
      <c r="CB87" s="99"/>
      <c r="CC87" s="14"/>
      <c r="CD87" s="148"/>
      <c r="CE87" s="14"/>
      <c r="CF87" s="28" t="str">
        <f t="shared" si="203"/>
        <v/>
      </c>
      <c r="CH87" s="90"/>
      <c r="CJ87" s="99"/>
      <c r="CK87" s="14"/>
      <c r="CL87" s="148"/>
      <c r="CM87" s="14"/>
      <c r="CN87" s="28" t="str">
        <f t="shared" si="204"/>
        <v/>
      </c>
      <c r="CP87" s="90"/>
      <c r="CR87" s="99"/>
      <c r="CS87" s="14"/>
      <c r="CT87" s="148"/>
      <c r="CU87" s="14"/>
      <c r="CV87" s="28" t="str">
        <f t="shared" si="205"/>
        <v/>
      </c>
      <c r="CX87" s="90"/>
    </row>
    <row r="88" spans="2:102" ht="15.6" x14ac:dyDescent="0.3">
      <c r="B88" s="51"/>
      <c r="C88" s="21" t="s">
        <v>147</v>
      </c>
      <c r="D88" s="70" t="e">
        <f t="shared" si="190"/>
        <v>#DIV/0!</v>
      </c>
      <c r="E88" s="130">
        <f t="shared" si="191"/>
        <v>0</v>
      </c>
      <c r="F88" s="73" t="str">
        <f t="shared" si="192"/>
        <v/>
      </c>
      <c r="H88" s="99"/>
      <c r="J88" s="148"/>
      <c r="L88" s="28" t="str">
        <f t="shared" si="194"/>
        <v/>
      </c>
      <c r="N88" s="90" t="str">
        <f t="shared" si="193"/>
        <v/>
      </c>
      <c r="P88" s="99"/>
      <c r="Q88" s="14"/>
      <c r="R88" s="148"/>
      <c r="S88" s="14"/>
      <c r="T88" s="28" t="str">
        <f t="shared" si="195"/>
        <v/>
      </c>
      <c r="V88" s="90"/>
      <c r="X88" s="99"/>
      <c r="Y88" s="14"/>
      <c r="Z88" s="148"/>
      <c r="AA88" s="14"/>
      <c r="AB88" s="28" t="str">
        <f t="shared" si="196"/>
        <v/>
      </c>
      <c r="AC88" s="14"/>
      <c r="AD88" s="90"/>
      <c r="AF88" s="99"/>
      <c r="AG88" s="14"/>
      <c r="AH88" s="148"/>
      <c r="AI88" s="14"/>
      <c r="AJ88" s="28" t="str">
        <f t="shared" si="197"/>
        <v/>
      </c>
      <c r="AL88" s="90"/>
      <c r="AN88" s="99"/>
      <c r="AO88" s="14"/>
      <c r="AP88" s="148"/>
      <c r="AQ88" s="14"/>
      <c r="AR88" s="28" t="str">
        <f t="shared" si="198"/>
        <v/>
      </c>
      <c r="AT88" s="90"/>
      <c r="AV88" s="99"/>
      <c r="AW88" s="14"/>
      <c r="AX88" s="148"/>
      <c r="AY88" s="14"/>
      <c r="AZ88" s="28" t="str">
        <f t="shared" si="199"/>
        <v/>
      </c>
      <c r="BB88" s="90"/>
      <c r="BD88" s="99"/>
      <c r="BE88" s="14"/>
      <c r="BF88" s="148"/>
      <c r="BG88" s="14"/>
      <c r="BH88" s="28" t="str">
        <f t="shared" si="200"/>
        <v/>
      </c>
      <c r="BJ88" s="90"/>
      <c r="BL88" s="99"/>
      <c r="BM88" s="14"/>
      <c r="BN88" s="148"/>
      <c r="BO88" s="14"/>
      <c r="BP88" s="28" t="str">
        <f t="shared" si="201"/>
        <v/>
      </c>
      <c r="BR88" s="90"/>
      <c r="BT88" s="99"/>
      <c r="BU88" s="14"/>
      <c r="BV88" s="148"/>
      <c r="BW88" s="14"/>
      <c r="BX88" s="28" t="str">
        <f t="shared" si="202"/>
        <v/>
      </c>
      <c r="BZ88" s="90"/>
      <c r="CB88" s="99"/>
      <c r="CC88" s="14"/>
      <c r="CD88" s="148"/>
      <c r="CE88" s="14"/>
      <c r="CF88" s="28" t="str">
        <f t="shared" si="203"/>
        <v/>
      </c>
      <c r="CH88" s="90"/>
      <c r="CJ88" s="99"/>
      <c r="CK88" s="14"/>
      <c r="CL88" s="148"/>
      <c r="CM88" s="14"/>
      <c r="CN88" s="28" t="str">
        <f t="shared" si="204"/>
        <v/>
      </c>
      <c r="CP88" s="90"/>
      <c r="CR88" s="99"/>
      <c r="CS88" s="14"/>
      <c r="CT88" s="148"/>
      <c r="CU88" s="14"/>
      <c r="CV88" s="28" t="str">
        <f t="shared" si="205"/>
        <v/>
      </c>
      <c r="CX88" s="90"/>
    </row>
    <row r="89" spans="2:102" ht="16.2" thickBot="1" x14ac:dyDescent="0.35">
      <c r="B89" s="52"/>
      <c r="C89" s="62"/>
      <c r="D89" s="71"/>
      <c r="E89" s="133"/>
      <c r="F89" s="81"/>
      <c r="H89" s="64"/>
      <c r="J89" s="149"/>
      <c r="L89" s="65"/>
      <c r="N89" s="90"/>
      <c r="P89" s="64"/>
      <c r="Q89" s="14"/>
      <c r="R89" s="149"/>
      <c r="S89" s="14"/>
      <c r="T89" s="65"/>
      <c r="V89" s="97"/>
      <c r="X89" s="64"/>
      <c r="Y89" s="14"/>
      <c r="Z89" s="149"/>
      <c r="AA89" s="14"/>
      <c r="AB89" s="65"/>
      <c r="AC89" s="14"/>
      <c r="AD89" s="97"/>
      <c r="AF89" s="64"/>
      <c r="AG89" s="14"/>
      <c r="AH89" s="149"/>
      <c r="AI89" s="14"/>
      <c r="AJ89" s="65"/>
      <c r="AL89" s="97"/>
      <c r="AN89" s="64"/>
      <c r="AO89" s="14"/>
      <c r="AP89" s="149"/>
      <c r="AQ89" s="14"/>
      <c r="AR89" s="65"/>
      <c r="AT89" s="90"/>
      <c r="AV89" s="64"/>
      <c r="AW89" s="14"/>
      <c r="AX89" s="149"/>
      <c r="AY89" s="14"/>
      <c r="AZ89" s="65"/>
      <c r="BB89" s="90"/>
      <c r="BD89" s="64"/>
      <c r="BE89" s="14"/>
      <c r="BF89" s="149"/>
      <c r="BG89" s="14"/>
      <c r="BH89" s="65"/>
      <c r="BJ89" s="90"/>
      <c r="BL89" s="64"/>
      <c r="BM89" s="14"/>
      <c r="BN89" s="149"/>
      <c r="BO89" s="14"/>
      <c r="BP89" s="65"/>
      <c r="BR89" s="90"/>
      <c r="BT89" s="64"/>
      <c r="BU89" s="14"/>
      <c r="BV89" s="149"/>
      <c r="BW89" s="14"/>
      <c r="BX89" s="65"/>
      <c r="BZ89" s="90"/>
      <c r="CB89" s="64"/>
      <c r="CC89" s="14"/>
      <c r="CD89" s="149"/>
      <c r="CE89" s="14"/>
      <c r="CF89" s="65"/>
      <c r="CH89" s="90"/>
      <c r="CJ89" s="64"/>
      <c r="CK89" s="14"/>
      <c r="CL89" s="149"/>
      <c r="CM89" s="14"/>
      <c r="CN89" s="65"/>
      <c r="CP89" s="90"/>
      <c r="CR89" s="64"/>
      <c r="CS89" s="14"/>
      <c r="CT89" s="149"/>
      <c r="CU89" s="14"/>
      <c r="CV89" s="65"/>
      <c r="CX89" s="90"/>
    </row>
    <row r="90" spans="2:102" ht="9" customHeight="1" thickBot="1" x14ac:dyDescent="0.35">
      <c r="C90" s="39"/>
      <c r="F90" s="17"/>
      <c r="H90" s="36"/>
      <c r="J90" s="36"/>
      <c r="L90" s="31"/>
      <c r="N90" s="31"/>
      <c r="P90" s="36"/>
      <c r="Q90" s="14"/>
      <c r="R90" s="36"/>
      <c r="S90" s="14"/>
      <c r="T90" s="31"/>
      <c r="V90" s="31"/>
      <c r="X90" s="36"/>
      <c r="Y90" s="14"/>
      <c r="Z90" s="36"/>
      <c r="AA90" s="14"/>
      <c r="AB90" s="31"/>
      <c r="AC90" s="14"/>
      <c r="AD90" s="31"/>
      <c r="AF90" s="36"/>
      <c r="AG90" s="14"/>
      <c r="AH90" s="36"/>
      <c r="AI90" s="14"/>
      <c r="AJ90" s="31"/>
      <c r="AL90" s="31"/>
      <c r="AN90" s="36"/>
      <c r="AO90" s="14"/>
      <c r="AP90" s="36"/>
      <c r="AQ90" s="14"/>
      <c r="AR90" s="31"/>
      <c r="AT90" s="31"/>
      <c r="AV90" s="36"/>
      <c r="AW90" s="14"/>
      <c r="AX90" s="36"/>
      <c r="AY90" s="14"/>
      <c r="AZ90" s="31"/>
      <c r="BB90" s="31"/>
      <c r="BD90" s="36"/>
      <c r="BE90" s="14"/>
      <c r="BF90" s="36"/>
      <c r="BG90" s="14"/>
      <c r="BH90" s="31"/>
      <c r="BJ90" s="31"/>
      <c r="BL90" s="36"/>
      <c r="BM90" s="14"/>
      <c r="BN90" s="36"/>
      <c r="BO90" s="14"/>
      <c r="BP90" s="31"/>
      <c r="BR90" s="31"/>
      <c r="BT90" s="36"/>
      <c r="BU90" s="14"/>
      <c r="BV90" s="36"/>
      <c r="BW90" s="14"/>
      <c r="BX90" s="31"/>
      <c r="BZ90" s="31"/>
      <c r="CB90" s="36"/>
      <c r="CC90" s="14"/>
      <c r="CD90" s="36"/>
      <c r="CE90" s="14"/>
      <c r="CF90" s="31"/>
      <c r="CH90" s="31"/>
      <c r="CJ90" s="36"/>
      <c r="CK90" s="14"/>
      <c r="CL90" s="36"/>
      <c r="CM90" s="14"/>
      <c r="CN90" s="31"/>
      <c r="CP90" s="31"/>
      <c r="CR90" s="36"/>
      <c r="CS90" s="14"/>
      <c r="CT90" s="36"/>
      <c r="CU90" s="14"/>
      <c r="CV90" s="31"/>
      <c r="CX90" s="31"/>
    </row>
    <row r="91" spans="2:102" ht="16.2" thickBot="1" x14ac:dyDescent="0.35">
      <c r="B91" s="208" t="s">
        <v>138</v>
      </c>
      <c r="C91" s="209"/>
      <c r="D91" s="29" t="e">
        <f t="shared" ref="D91:F91" si="206">IF(SUM(D92:D99)&lt;&gt;"",SUM(D92:D99),"")</f>
        <v>#DIV/0!</v>
      </c>
      <c r="E91" s="127">
        <f t="shared" si="206"/>
        <v>0</v>
      </c>
      <c r="F91" s="76">
        <f t="shared" si="206"/>
        <v>0</v>
      </c>
      <c r="H91" s="29">
        <f>IF(SUM(H92:H99)&lt;&gt;"",SUM(H92:H99),"")</f>
        <v>0</v>
      </c>
      <c r="J91" s="29">
        <f>IF(SUM(J92:J99)&lt;&gt;"",SUM(J92:J99),"")</f>
        <v>0</v>
      </c>
      <c r="L91" s="94" t="str">
        <f>IF(SUM(L92:L98)&lt;&gt;0,SUM(L92:L98),"")</f>
        <v/>
      </c>
      <c r="N91" s="30" t="e">
        <f>IF(J91&lt;&gt;"",(J91/$D91)-1,"")</f>
        <v>#DIV/0!</v>
      </c>
      <c r="P91" s="29">
        <f>IF(SUM(P92:P99)&lt;&gt;"",SUM(P92:P99),"")</f>
        <v>0</v>
      </c>
      <c r="Q91" s="14"/>
      <c r="R91" s="29">
        <f>IF(SUM(R92:R99)&lt;&gt;"",SUM(R92:R99),"")</f>
        <v>0</v>
      </c>
      <c r="S91" s="14"/>
      <c r="T91" s="94" t="str">
        <f>IF(SUM(T92:T98)&lt;&gt;0,SUM(T92:T98),"")</f>
        <v/>
      </c>
      <c r="V91" s="94" t="str">
        <f t="shared" ref="V91:V97" si="207">IF(R91&lt;&gt;0,(R91/P91)-1,"")</f>
        <v/>
      </c>
      <c r="X91" s="29">
        <f>IF(SUM(X92:X99)&lt;&gt;"",SUM(X92:X99),"")</f>
        <v>0</v>
      </c>
      <c r="Y91" s="14"/>
      <c r="Z91" s="29">
        <f>IF(SUM(Z92:Z99)&lt;&gt;"",SUM(Z92:Z99),"")</f>
        <v>0</v>
      </c>
      <c r="AA91" s="14"/>
      <c r="AB91" s="94" t="str">
        <f>IF(SUM(AB92:AB98)&lt;&gt;0,SUM(AB92:AB98),"")</f>
        <v/>
      </c>
      <c r="AC91" s="14"/>
      <c r="AD91" s="94" t="str">
        <f t="shared" ref="AD91:AD97" si="208">IF(Z91&lt;&gt;0,(Z91/X91)-1,"")</f>
        <v/>
      </c>
      <c r="AF91" s="29">
        <f>IF(SUM(AF92:AF99)&lt;&gt;"",SUM(AF92:AF99),"")</f>
        <v>0</v>
      </c>
      <c r="AG91" s="14"/>
      <c r="AH91" s="29">
        <f>IF(SUM(AH92:AH99)&lt;&gt;"",SUM(AH92:AH99),"")</f>
        <v>0</v>
      </c>
      <c r="AI91" s="14"/>
      <c r="AJ91" s="94" t="str">
        <f>IF(SUM(AJ92:AJ98)&lt;&gt;0,SUM(AJ92:AJ98),"")</f>
        <v/>
      </c>
      <c r="AL91" s="94" t="str">
        <f t="shared" ref="AL91:AL97" si="209">IF(AH91&lt;&gt;0,(AH91/AF91)-1,"")</f>
        <v/>
      </c>
      <c r="AN91" s="29">
        <f>IF(SUM(AN92:AN99)&lt;&gt;"",SUM(AN92:AN99),"")</f>
        <v>0</v>
      </c>
      <c r="AO91" s="14"/>
      <c r="AP91" s="29">
        <f>IF(SUM(AP92:AP99)&lt;&gt;"",SUM(AP92:AP99),"")</f>
        <v>0</v>
      </c>
      <c r="AQ91" s="14"/>
      <c r="AR91" s="94" t="str">
        <f>IF(SUM(AR92:AR98)&lt;&gt;0,SUM(AR92:AR98),"")</f>
        <v/>
      </c>
      <c r="AT91" s="94" t="str">
        <f t="shared" ref="AT91:AT97" si="210">IF(AP91&lt;&gt;0,(AP91/AN91)-1,"")</f>
        <v/>
      </c>
      <c r="AV91" s="29">
        <f>IF(SUM(AV92:AV99)&lt;&gt;"",SUM(AV92:AV99),"")</f>
        <v>0</v>
      </c>
      <c r="AW91" s="14"/>
      <c r="AX91" s="29">
        <f>IF(SUM(AX92:AX99)&lt;&gt;"",SUM(AX92:AX99),"")</f>
        <v>0</v>
      </c>
      <c r="AY91" s="14"/>
      <c r="AZ91" s="94" t="str">
        <f>IF(SUM(AZ92:AZ98)&lt;&gt;0,SUM(AZ92:AZ98),"")</f>
        <v/>
      </c>
      <c r="BB91" s="94" t="str">
        <f t="shared" ref="BB91:BB97" si="211">IF(AX91&lt;&gt;0,(AX91/AV91)-1,"")</f>
        <v/>
      </c>
      <c r="BD91" s="29">
        <f>IF(SUM(BD92:BD99)&lt;&gt;"",SUM(BD92:BD99),"")</f>
        <v>0</v>
      </c>
      <c r="BE91" s="14"/>
      <c r="BF91" s="29">
        <f>IF(SUM(BF92:BF99)&lt;&gt;"",SUM(BF92:BF99),"")</f>
        <v>0</v>
      </c>
      <c r="BG91" s="14"/>
      <c r="BH91" s="94" t="str">
        <f>IF(SUM(BH92:BH98)&lt;&gt;0,SUM(BH92:BH98),"")</f>
        <v/>
      </c>
      <c r="BJ91" s="94" t="str">
        <f t="shared" ref="BJ91:BJ97" si="212">IF(BF91&lt;&gt;0,(BF91/BD91)-1,"")</f>
        <v/>
      </c>
      <c r="BL91" s="29">
        <f>IF(SUM(BL92:BL99)&lt;&gt;"",SUM(BL92:BL99),"")</f>
        <v>0</v>
      </c>
      <c r="BM91" s="14"/>
      <c r="BN91" s="29">
        <f>IF(SUM(BN92:BN99)&lt;&gt;"",SUM(BN92:BN99),"")</f>
        <v>0</v>
      </c>
      <c r="BO91" s="14"/>
      <c r="BP91" s="94" t="str">
        <f>IF(SUM(BP92:BP98)&lt;&gt;0,SUM(BP92:BP98),"")</f>
        <v/>
      </c>
      <c r="BR91" s="94" t="str">
        <f t="shared" ref="BR91:BR97" si="213">IF(BN91&lt;&gt;0,(BN91/BL91)-1,"")</f>
        <v/>
      </c>
      <c r="BT91" s="29">
        <f>IF(SUM(BT92:BT99)&lt;&gt;"",SUM(BT92:BT99),"")</f>
        <v>0</v>
      </c>
      <c r="BU91" s="14"/>
      <c r="BV91" s="29">
        <f>IF(SUM(BV92:BV99)&lt;&gt;"",SUM(BV92:BV99),"")</f>
        <v>0</v>
      </c>
      <c r="BW91" s="14"/>
      <c r="BX91" s="94" t="str">
        <f>IF(SUM(BX92:BX98)&lt;&gt;0,SUM(BX92:BX98),"")</f>
        <v/>
      </c>
      <c r="BZ91" s="94" t="str">
        <f t="shared" ref="BZ91:BZ97" si="214">IF(BV91&lt;&gt;0,(BV91/BT91)-1,"")</f>
        <v/>
      </c>
      <c r="CB91" s="29">
        <f>IF(SUM(CB92:CB99)&lt;&gt;"",SUM(CB92:CB99),"")</f>
        <v>0</v>
      </c>
      <c r="CC91" s="14"/>
      <c r="CD91" s="29">
        <f>IF(SUM(CD92:CD99)&lt;&gt;"",SUM(CD92:CD99),"")</f>
        <v>0</v>
      </c>
      <c r="CE91" s="14"/>
      <c r="CF91" s="94" t="str">
        <f>IF(SUM(CF92:CF98)&lt;&gt;0,SUM(CF92:CF98),"")</f>
        <v/>
      </c>
      <c r="CH91" s="94" t="str">
        <f t="shared" ref="CH91:CH97" si="215">IF(CD91&lt;&gt;0,(CD91/CB91)-1,"")</f>
        <v/>
      </c>
      <c r="CJ91" s="29">
        <f>IF(SUM(CJ92:CJ99)&lt;&gt;"",SUM(CJ92:CJ99),"")</f>
        <v>0</v>
      </c>
      <c r="CK91" s="14"/>
      <c r="CL91" s="29">
        <f>IF(SUM(CL92:CL99)&lt;&gt;"",SUM(CL92:CL99),"")</f>
        <v>0</v>
      </c>
      <c r="CM91" s="14"/>
      <c r="CN91" s="94" t="str">
        <f>IF(SUM(CN92:CN98)&lt;&gt;0,SUM(CN92:CN98),"")</f>
        <v/>
      </c>
      <c r="CP91" s="94" t="str">
        <f t="shared" ref="CP91:CP97" si="216">IF(CL91&lt;&gt;0,(CL91/CJ91)-1,"")</f>
        <v/>
      </c>
      <c r="CR91" s="29">
        <f>IF(SUM(CR92:CR99)&lt;&gt;"",SUM(CR92:CR99),"")</f>
        <v>0</v>
      </c>
      <c r="CS91" s="14"/>
      <c r="CT91" s="29">
        <f>IF(SUM(CT92:CT99)&lt;&gt;"",SUM(CT92:CT99),"")</f>
        <v>0</v>
      </c>
      <c r="CU91" s="14"/>
      <c r="CV91" s="94" t="str">
        <f>IF(SUM(CV92:CV98)&lt;&gt;0,SUM(CV92:CV98),"")</f>
        <v/>
      </c>
      <c r="CX91" s="94" t="str">
        <f t="shared" ref="CX91:CX97" si="217">IF(CT91&lt;&gt;0,(CT91/CR91)-1,"")</f>
        <v/>
      </c>
    </row>
    <row r="92" spans="2:102" ht="15.6" x14ac:dyDescent="0.3">
      <c r="B92" s="98"/>
      <c r="C92" s="20" t="s">
        <v>28</v>
      </c>
      <c r="D92" s="78" t="e">
        <f t="shared" ref="D92:D97" si="218">IF(AVERAGE(J92,R92,Z92,AH92,AP92,AX92,BF92,BN92,BV92,CD92,CL92,CT92)&lt;&gt;"",AVERAGE(J92,R92,Z92,AH92,AP92,AX92,BF92,BN92,BV92,CD92,CL92,CT92),"")</f>
        <v>#DIV/0!</v>
      </c>
      <c r="E92" s="130">
        <f t="shared" ref="E92:E97" si="219">IF(SUM(J92,R92,Z92,AH92,AP92,AX92,BF92,BN92,BV92,CD92,CL92,CT92)&lt;&gt;"",SUM(J92,R92,Z92,AH92,AP92,AX92,BF92,BN92,BV92,CD92,CL92,CT92),"")</f>
        <v>0</v>
      </c>
      <c r="F92" s="80" t="str">
        <f t="shared" ref="F92:F97" si="220">IF(E92&lt;&gt;0,E92/E$7,"")</f>
        <v/>
      </c>
      <c r="H92" s="35"/>
      <c r="J92" s="147"/>
      <c r="L92" s="28" t="str">
        <f>IF(J92&lt;&gt;"",J92/J$7,"")</f>
        <v/>
      </c>
      <c r="N92" s="90" t="str">
        <f t="shared" ref="N92:N98" si="221">IF(J92&lt;&gt;0,(J92/D92)-1,"")</f>
        <v/>
      </c>
      <c r="P92" s="35"/>
      <c r="Q92" s="14"/>
      <c r="R92" s="147"/>
      <c r="S92" s="14"/>
      <c r="T92" s="28" t="str">
        <f>IF(R92&lt;&gt;"",R92/R$7,"")</f>
        <v/>
      </c>
      <c r="V92" s="90" t="str">
        <f t="shared" si="207"/>
        <v/>
      </c>
      <c r="X92" s="35"/>
      <c r="Y92" s="14"/>
      <c r="Z92" s="147"/>
      <c r="AA92" s="14"/>
      <c r="AB92" s="28" t="str">
        <f>IF(Z92&lt;&gt;"",Z92/Z$7,"")</f>
        <v/>
      </c>
      <c r="AC92" s="14"/>
      <c r="AD92" s="90" t="str">
        <f t="shared" si="208"/>
        <v/>
      </c>
      <c r="AF92" s="35"/>
      <c r="AG92" s="14"/>
      <c r="AH92" s="147"/>
      <c r="AI92" s="14"/>
      <c r="AJ92" s="28" t="str">
        <f>IF(AH92&lt;&gt;"",AH92/AH$7,"")</f>
        <v/>
      </c>
      <c r="AL92" s="90" t="str">
        <f t="shared" si="209"/>
        <v/>
      </c>
      <c r="AN92" s="35"/>
      <c r="AO92" s="14"/>
      <c r="AP92" s="147"/>
      <c r="AQ92" s="14"/>
      <c r="AR92" s="28" t="str">
        <f>IF(AP92&lt;&gt;"",AP92/AP$7,"")</f>
        <v/>
      </c>
      <c r="AT92" s="90" t="str">
        <f t="shared" si="210"/>
        <v/>
      </c>
      <c r="AV92" s="35"/>
      <c r="AW92" s="14"/>
      <c r="AX92" s="147"/>
      <c r="AY92" s="14"/>
      <c r="AZ92" s="28" t="str">
        <f>IF(AX92&lt;&gt;"",AX92/AX$7,"")</f>
        <v/>
      </c>
      <c r="BB92" s="90" t="str">
        <f t="shared" si="211"/>
        <v/>
      </c>
      <c r="BD92" s="35"/>
      <c r="BE92" s="14"/>
      <c r="BF92" s="147"/>
      <c r="BG92" s="14"/>
      <c r="BH92" s="28" t="str">
        <f>IF(BF92&lt;&gt;"",BF92/BF$7,"")</f>
        <v/>
      </c>
      <c r="BJ92" s="90" t="str">
        <f t="shared" si="212"/>
        <v/>
      </c>
      <c r="BL92" s="35"/>
      <c r="BM92" s="14"/>
      <c r="BN92" s="147"/>
      <c r="BO92" s="14"/>
      <c r="BP92" s="28" t="str">
        <f>IF(BN92&lt;&gt;"",BN92/BN$7,"")</f>
        <v/>
      </c>
      <c r="BR92" s="90" t="str">
        <f t="shared" si="213"/>
        <v/>
      </c>
      <c r="BT92" s="35"/>
      <c r="BU92" s="14"/>
      <c r="BV92" s="147"/>
      <c r="BW92" s="14"/>
      <c r="BX92" s="28" t="str">
        <f>IF(BV92&lt;&gt;"",BV92/BV$7,"")</f>
        <v/>
      </c>
      <c r="BZ92" s="90" t="str">
        <f t="shared" si="214"/>
        <v/>
      </c>
      <c r="CB92" s="35"/>
      <c r="CC92" s="14"/>
      <c r="CD92" s="147"/>
      <c r="CE92" s="14"/>
      <c r="CF92" s="28" t="str">
        <f>IF(CD92&lt;&gt;"",CD92/CD$7,"")</f>
        <v/>
      </c>
      <c r="CH92" s="90" t="str">
        <f t="shared" si="215"/>
        <v/>
      </c>
      <c r="CJ92" s="35"/>
      <c r="CK92" s="14"/>
      <c r="CL92" s="147"/>
      <c r="CM92" s="14"/>
      <c r="CN92" s="28" t="str">
        <f>IF(CL92&lt;&gt;"",CL92/CL$7,"")</f>
        <v/>
      </c>
      <c r="CP92" s="90" t="str">
        <f t="shared" si="216"/>
        <v/>
      </c>
      <c r="CR92" s="35"/>
      <c r="CS92" s="14"/>
      <c r="CT92" s="147"/>
      <c r="CU92" s="14"/>
      <c r="CV92" s="28" t="str">
        <f>IF(CT92&lt;&gt;"",CT92/CT$7,"")</f>
        <v/>
      </c>
      <c r="CX92" s="90" t="str">
        <f t="shared" si="217"/>
        <v/>
      </c>
    </row>
    <row r="93" spans="2:102" ht="15.6" x14ac:dyDescent="0.3">
      <c r="B93" s="98"/>
      <c r="C93" s="22" t="s">
        <v>91</v>
      </c>
      <c r="D93" s="78" t="e">
        <f t="shared" si="218"/>
        <v>#DIV/0!</v>
      </c>
      <c r="E93" s="130">
        <f t="shared" si="219"/>
        <v>0</v>
      </c>
      <c r="F93" s="80" t="str">
        <f t="shared" si="220"/>
        <v/>
      </c>
      <c r="H93" s="35"/>
      <c r="J93" s="147"/>
      <c r="L93" s="28" t="str">
        <f>IF(J93&lt;&gt;"",J93/J$7,"")</f>
        <v/>
      </c>
      <c r="N93" s="90" t="str">
        <f t="shared" si="221"/>
        <v/>
      </c>
      <c r="P93" s="35"/>
      <c r="Q93" s="14"/>
      <c r="R93" s="147"/>
      <c r="S93" s="14"/>
      <c r="T93" s="28" t="str">
        <f>IF(R93&lt;&gt;"",R93/R$7,"")</f>
        <v/>
      </c>
      <c r="V93" s="90"/>
      <c r="X93" s="35"/>
      <c r="Y93" s="14"/>
      <c r="Z93" s="147"/>
      <c r="AA93" s="14"/>
      <c r="AB93" s="28" t="str">
        <f>IF(Z93&lt;&gt;"",Z93/Z$7,"")</f>
        <v/>
      </c>
      <c r="AC93" s="14"/>
      <c r="AD93" s="90"/>
      <c r="AF93" s="35"/>
      <c r="AG93" s="14"/>
      <c r="AH93" s="147"/>
      <c r="AI93" s="14"/>
      <c r="AJ93" s="28" t="str">
        <f>IF(AH93&lt;&gt;"",AH93/AH$7,"")</f>
        <v/>
      </c>
      <c r="AL93" s="90"/>
      <c r="AN93" s="35"/>
      <c r="AO93" s="14"/>
      <c r="AP93" s="147"/>
      <c r="AQ93" s="14"/>
      <c r="AR93" s="28" t="str">
        <f>IF(AP93&lt;&gt;"",AP93/AP$7,"")</f>
        <v/>
      </c>
      <c r="AT93" s="90"/>
      <c r="AV93" s="35"/>
      <c r="AW93" s="14"/>
      <c r="AX93" s="147"/>
      <c r="AY93" s="14"/>
      <c r="AZ93" s="28" t="str">
        <f>IF(AX93&lt;&gt;"",AX93/AX$7,"")</f>
        <v/>
      </c>
      <c r="BB93" s="90"/>
      <c r="BD93" s="35"/>
      <c r="BE93" s="14"/>
      <c r="BF93" s="147"/>
      <c r="BG93" s="14"/>
      <c r="BH93" s="28" t="str">
        <f>IF(BF93&lt;&gt;"",BF93/BF$7,"")</f>
        <v/>
      </c>
      <c r="BJ93" s="90"/>
      <c r="BL93" s="35"/>
      <c r="BM93" s="14"/>
      <c r="BN93" s="147"/>
      <c r="BO93" s="14"/>
      <c r="BP93" s="28" t="str">
        <f>IF(BN93&lt;&gt;"",BN93/BN$7,"")</f>
        <v/>
      </c>
      <c r="BR93" s="90"/>
      <c r="BT93" s="35"/>
      <c r="BU93" s="14"/>
      <c r="BV93" s="147"/>
      <c r="BW93" s="14"/>
      <c r="BX93" s="28" t="str">
        <f>IF(BV93&lt;&gt;"",BV93/BV$7,"")</f>
        <v/>
      </c>
      <c r="BZ93" s="90"/>
      <c r="CB93" s="35"/>
      <c r="CC93" s="14"/>
      <c r="CD93" s="147"/>
      <c r="CE93" s="14"/>
      <c r="CF93" s="28" t="str">
        <f>IF(CD93&lt;&gt;"",CD93/CD$7,"")</f>
        <v/>
      </c>
      <c r="CH93" s="90"/>
      <c r="CJ93" s="35"/>
      <c r="CK93" s="14"/>
      <c r="CL93" s="147"/>
      <c r="CM93" s="14"/>
      <c r="CN93" s="28" t="str">
        <f>IF(CL93&lt;&gt;"",CL93/CL$7,"")</f>
        <v/>
      </c>
      <c r="CP93" s="90"/>
      <c r="CR93" s="35"/>
      <c r="CS93" s="14"/>
      <c r="CT93" s="147"/>
      <c r="CU93" s="14"/>
      <c r="CV93" s="28" t="str">
        <f>IF(CT93&lt;&gt;"",CT93/CT$7,"")</f>
        <v/>
      </c>
      <c r="CX93" s="90"/>
    </row>
    <row r="94" spans="2:102" ht="15.6" x14ac:dyDescent="0.3">
      <c r="B94" s="98"/>
      <c r="C94" s="22" t="s">
        <v>137</v>
      </c>
      <c r="D94" s="78" t="e">
        <f t="shared" si="218"/>
        <v>#DIV/0!</v>
      </c>
      <c r="E94" s="130">
        <f t="shared" si="219"/>
        <v>0</v>
      </c>
      <c r="F94" s="80" t="str">
        <f t="shared" si="220"/>
        <v/>
      </c>
      <c r="H94" s="35"/>
      <c r="J94" s="147"/>
      <c r="L94" s="28" t="str">
        <f t="shared" ref="L94:L98" si="222">IF(J94&lt;&gt;"",J94/J$7,"")</f>
        <v/>
      </c>
      <c r="N94" s="90" t="str">
        <f t="shared" si="221"/>
        <v/>
      </c>
      <c r="P94" s="35"/>
      <c r="Q94" s="14"/>
      <c r="R94" s="147"/>
      <c r="S94" s="14"/>
      <c r="T94" s="28" t="str">
        <f t="shared" ref="T94:T97" si="223">IF(R94&lt;&gt;"",R94/R$7,"")</f>
        <v/>
      </c>
      <c r="V94" s="90"/>
      <c r="X94" s="35"/>
      <c r="Y94" s="14"/>
      <c r="Z94" s="147"/>
      <c r="AA94" s="14"/>
      <c r="AB94" s="28" t="str">
        <f t="shared" ref="AB94:AB97" si="224">IF(Z94&lt;&gt;"",Z94/Z$7,"")</f>
        <v/>
      </c>
      <c r="AC94" s="14"/>
      <c r="AD94" s="90"/>
      <c r="AF94" s="35"/>
      <c r="AG94" s="14"/>
      <c r="AH94" s="147"/>
      <c r="AI94" s="14"/>
      <c r="AJ94" s="28" t="str">
        <f t="shared" ref="AJ94:AJ97" si="225">IF(AH94&lt;&gt;"",AH94/AH$7,"")</f>
        <v/>
      </c>
      <c r="AL94" s="90"/>
      <c r="AN94" s="35"/>
      <c r="AO94" s="14"/>
      <c r="AP94" s="147"/>
      <c r="AQ94" s="14"/>
      <c r="AR94" s="28" t="str">
        <f t="shared" ref="AR94:AR97" si="226">IF(AP94&lt;&gt;"",AP94/AP$7,"")</f>
        <v/>
      </c>
      <c r="AT94" s="90"/>
      <c r="AV94" s="35"/>
      <c r="AW94" s="14"/>
      <c r="AX94" s="147"/>
      <c r="AY94" s="14"/>
      <c r="AZ94" s="28" t="str">
        <f t="shared" ref="AZ94:AZ97" si="227">IF(AX94&lt;&gt;"",AX94/AX$7,"")</f>
        <v/>
      </c>
      <c r="BB94" s="90"/>
      <c r="BD94" s="35"/>
      <c r="BE94" s="14"/>
      <c r="BF94" s="147"/>
      <c r="BG94" s="14"/>
      <c r="BH94" s="28" t="str">
        <f t="shared" ref="BH94:BH97" si="228">IF(BF94&lt;&gt;"",BF94/BF$7,"")</f>
        <v/>
      </c>
      <c r="BJ94" s="90"/>
      <c r="BL94" s="35"/>
      <c r="BM94" s="14"/>
      <c r="BN94" s="147"/>
      <c r="BO94" s="14"/>
      <c r="BP94" s="28" t="str">
        <f t="shared" ref="BP94:BP97" si="229">IF(BN94&lt;&gt;"",BN94/BN$7,"")</f>
        <v/>
      </c>
      <c r="BR94" s="90"/>
      <c r="BT94" s="35"/>
      <c r="BU94" s="14"/>
      <c r="BV94" s="147"/>
      <c r="BW94" s="14"/>
      <c r="BX94" s="28" t="str">
        <f t="shared" ref="BX94:BX97" si="230">IF(BV94&lt;&gt;"",BV94/BV$7,"")</f>
        <v/>
      </c>
      <c r="BZ94" s="90"/>
      <c r="CB94" s="35"/>
      <c r="CC94" s="14"/>
      <c r="CD94" s="147"/>
      <c r="CE94" s="14"/>
      <c r="CF94" s="28" t="str">
        <f t="shared" ref="CF94:CF97" si="231">IF(CD94&lt;&gt;"",CD94/CD$7,"")</f>
        <v/>
      </c>
      <c r="CH94" s="90"/>
      <c r="CJ94" s="35"/>
      <c r="CK94" s="14"/>
      <c r="CL94" s="147"/>
      <c r="CM94" s="14"/>
      <c r="CN94" s="28" t="str">
        <f t="shared" ref="CN94:CN97" si="232">IF(CL94&lt;&gt;"",CL94/CL$7,"")</f>
        <v/>
      </c>
      <c r="CP94" s="90"/>
      <c r="CR94" s="35"/>
      <c r="CS94" s="14"/>
      <c r="CT94" s="147"/>
      <c r="CU94" s="14"/>
      <c r="CV94" s="28" t="str">
        <f t="shared" ref="CV94:CV97" si="233">IF(CT94&lt;&gt;"",CT94/CT$7,"")</f>
        <v/>
      </c>
      <c r="CX94" s="90"/>
    </row>
    <row r="95" spans="2:102" ht="15.6" x14ac:dyDescent="0.3">
      <c r="B95" s="98"/>
      <c r="C95" s="22" t="s">
        <v>90</v>
      </c>
      <c r="D95" s="78" t="e">
        <f t="shared" si="218"/>
        <v>#DIV/0!</v>
      </c>
      <c r="E95" s="130">
        <f t="shared" si="219"/>
        <v>0</v>
      </c>
      <c r="F95" s="80" t="str">
        <f t="shared" si="220"/>
        <v/>
      </c>
      <c r="H95" s="35"/>
      <c r="J95" s="147"/>
      <c r="L95" s="28" t="str">
        <f t="shared" si="222"/>
        <v/>
      </c>
      <c r="N95" s="90" t="str">
        <f t="shared" si="221"/>
        <v/>
      </c>
      <c r="P95" s="35"/>
      <c r="Q95" s="14"/>
      <c r="R95" s="147"/>
      <c r="S95" s="14"/>
      <c r="T95" s="28" t="str">
        <f t="shared" si="223"/>
        <v/>
      </c>
      <c r="V95" s="90"/>
      <c r="X95" s="35"/>
      <c r="Y95" s="14"/>
      <c r="Z95" s="147"/>
      <c r="AA95" s="14"/>
      <c r="AB95" s="28" t="str">
        <f t="shared" si="224"/>
        <v/>
      </c>
      <c r="AC95" s="14"/>
      <c r="AD95" s="90"/>
      <c r="AF95" s="35"/>
      <c r="AG95" s="14"/>
      <c r="AH95" s="147"/>
      <c r="AI95" s="14"/>
      <c r="AJ95" s="28" t="str">
        <f t="shared" si="225"/>
        <v/>
      </c>
      <c r="AL95" s="90"/>
      <c r="AN95" s="35"/>
      <c r="AO95" s="14"/>
      <c r="AP95" s="147"/>
      <c r="AQ95" s="14"/>
      <c r="AR95" s="28" t="str">
        <f t="shared" si="226"/>
        <v/>
      </c>
      <c r="AT95" s="90"/>
      <c r="AV95" s="35"/>
      <c r="AW95" s="14"/>
      <c r="AX95" s="147"/>
      <c r="AY95" s="14"/>
      <c r="AZ95" s="28" t="str">
        <f t="shared" si="227"/>
        <v/>
      </c>
      <c r="BB95" s="90"/>
      <c r="BD95" s="35"/>
      <c r="BE95" s="14"/>
      <c r="BF95" s="147"/>
      <c r="BG95" s="14"/>
      <c r="BH95" s="28" t="str">
        <f t="shared" si="228"/>
        <v/>
      </c>
      <c r="BJ95" s="90"/>
      <c r="BL95" s="35"/>
      <c r="BM95" s="14"/>
      <c r="BN95" s="147"/>
      <c r="BO95" s="14"/>
      <c r="BP95" s="28" t="str">
        <f t="shared" si="229"/>
        <v/>
      </c>
      <c r="BR95" s="90"/>
      <c r="BT95" s="35"/>
      <c r="BU95" s="14"/>
      <c r="BV95" s="147"/>
      <c r="BW95" s="14"/>
      <c r="BX95" s="28" t="str">
        <f t="shared" si="230"/>
        <v/>
      </c>
      <c r="BZ95" s="90"/>
      <c r="CB95" s="35"/>
      <c r="CC95" s="14"/>
      <c r="CD95" s="147"/>
      <c r="CE95" s="14"/>
      <c r="CF95" s="28" t="str">
        <f t="shared" si="231"/>
        <v/>
      </c>
      <c r="CH95" s="90"/>
      <c r="CJ95" s="35"/>
      <c r="CK95" s="14"/>
      <c r="CL95" s="147"/>
      <c r="CM95" s="14"/>
      <c r="CN95" s="28" t="str">
        <f t="shared" si="232"/>
        <v/>
      </c>
      <c r="CP95" s="90"/>
      <c r="CR95" s="35"/>
      <c r="CS95" s="14"/>
      <c r="CT95" s="147"/>
      <c r="CU95" s="14"/>
      <c r="CV95" s="28" t="str">
        <f t="shared" si="233"/>
        <v/>
      </c>
      <c r="CX95" s="90"/>
    </row>
    <row r="96" spans="2:102" ht="15.6" x14ac:dyDescent="0.3">
      <c r="B96" s="98"/>
      <c r="C96" s="22" t="s">
        <v>94</v>
      </c>
      <c r="D96" s="78" t="e">
        <f t="shared" si="218"/>
        <v>#DIV/0!</v>
      </c>
      <c r="E96" s="130">
        <f t="shared" si="219"/>
        <v>0</v>
      </c>
      <c r="F96" s="80" t="str">
        <f t="shared" si="220"/>
        <v/>
      </c>
      <c r="H96" s="35"/>
      <c r="J96" s="147"/>
      <c r="L96" s="28" t="str">
        <f t="shared" si="222"/>
        <v/>
      </c>
      <c r="N96" s="90" t="str">
        <f t="shared" si="221"/>
        <v/>
      </c>
      <c r="P96" s="35"/>
      <c r="Q96" s="14"/>
      <c r="R96" s="147"/>
      <c r="S96" s="14"/>
      <c r="T96" s="28" t="str">
        <f t="shared" si="223"/>
        <v/>
      </c>
      <c r="V96" s="90"/>
      <c r="X96" s="35"/>
      <c r="Y96" s="14"/>
      <c r="Z96" s="147"/>
      <c r="AA96" s="14"/>
      <c r="AB96" s="28" t="str">
        <f t="shared" si="224"/>
        <v/>
      </c>
      <c r="AC96" s="14"/>
      <c r="AD96" s="90"/>
      <c r="AF96" s="35"/>
      <c r="AG96" s="14"/>
      <c r="AH96" s="147"/>
      <c r="AI96" s="14"/>
      <c r="AJ96" s="28" t="str">
        <f t="shared" si="225"/>
        <v/>
      </c>
      <c r="AL96" s="90"/>
      <c r="AN96" s="35"/>
      <c r="AO96" s="14"/>
      <c r="AP96" s="147"/>
      <c r="AQ96" s="14"/>
      <c r="AR96" s="28" t="str">
        <f t="shared" si="226"/>
        <v/>
      </c>
      <c r="AT96" s="90"/>
      <c r="AV96" s="35"/>
      <c r="AW96" s="14"/>
      <c r="AX96" s="147"/>
      <c r="AY96" s="14"/>
      <c r="AZ96" s="28" t="str">
        <f t="shared" si="227"/>
        <v/>
      </c>
      <c r="BB96" s="90"/>
      <c r="BD96" s="35"/>
      <c r="BE96" s="14"/>
      <c r="BF96" s="147"/>
      <c r="BG96" s="14"/>
      <c r="BH96" s="28" t="str">
        <f t="shared" si="228"/>
        <v/>
      </c>
      <c r="BJ96" s="90"/>
      <c r="BL96" s="35"/>
      <c r="BM96" s="14"/>
      <c r="BN96" s="147"/>
      <c r="BO96" s="14"/>
      <c r="BP96" s="28" t="str">
        <f t="shared" si="229"/>
        <v/>
      </c>
      <c r="BR96" s="90"/>
      <c r="BT96" s="35"/>
      <c r="BU96" s="14"/>
      <c r="BV96" s="147"/>
      <c r="BW96" s="14"/>
      <c r="BX96" s="28" t="str">
        <f t="shared" si="230"/>
        <v/>
      </c>
      <c r="BZ96" s="90"/>
      <c r="CB96" s="35"/>
      <c r="CC96" s="14"/>
      <c r="CD96" s="147"/>
      <c r="CE96" s="14"/>
      <c r="CF96" s="28" t="str">
        <f t="shared" si="231"/>
        <v/>
      </c>
      <c r="CH96" s="90"/>
      <c r="CJ96" s="35"/>
      <c r="CK96" s="14"/>
      <c r="CL96" s="147"/>
      <c r="CM96" s="14"/>
      <c r="CN96" s="28" t="str">
        <f t="shared" si="232"/>
        <v/>
      </c>
      <c r="CP96" s="90"/>
      <c r="CR96" s="35"/>
      <c r="CS96" s="14"/>
      <c r="CT96" s="147"/>
      <c r="CU96" s="14"/>
      <c r="CV96" s="28" t="str">
        <f t="shared" si="233"/>
        <v/>
      </c>
      <c r="CX96" s="90"/>
    </row>
    <row r="97" spans="1:102" ht="15.6" x14ac:dyDescent="0.3">
      <c r="B97" s="51"/>
      <c r="C97" s="22" t="s">
        <v>30</v>
      </c>
      <c r="D97" s="78" t="e">
        <f t="shared" si="218"/>
        <v>#DIV/0!</v>
      </c>
      <c r="E97" s="130">
        <f t="shared" si="219"/>
        <v>0</v>
      </c>
      <c r="F97" s="80" t="str">
        <f t="shared" si="220"/>
        <v/>
      </c>
      <c r="H97" s="99"/>
      <c r="J97" s="148"/>
      <c r="L97" s="28" t="str">
        <f t="shared" si="222"/>
        <v/>
      </c>
      <c r="N97" s="90" t="str">
        <f t="shared" si="221"/>
        <v/>
      </c>
      <c r="P97" s="99"/>
      <c r="Q97" s="14"/>
      <c r="R97" s="148"/>
      <c r="S97" s="14"/>
      <c r="T97" s="28" t="str">
        <f t="shared" si="223"/>
        <v/>
      </c>
      <c r="V97" s="90" t="str">
        <f t="shared" si="207"/>
        <v/>
      </c>
      <c r="X97" s="99"/>
      <c r="Y97" s="14"/>
      <c r="Z97" s="148"/>
      <c r="AA97" s="14"/>
      <c r="AB97" s="28" t="str">
        <f t="shared" si="224"/>
        <v/>
      </c>
      <c r="AC97" s="14"/>
      <c r="AD97" s="90" t="str">
        <f t="shared" si="208"/>
        <v/>
      </c>
      <c r="AF97" s="99"/>
      <c r="AG97" s="14"/>
      <c r="AH97" s="148"/>
      <c r="AI97" s="14"/>
      <c r="AJ97" s="28" t="str">
        <f t="shared" si="225"/>
        <v/>
      </c>
      <c r="AL97" s="90" t="str">
        <f t="shared" si="209"/>
        <v/>
      </c>
      <c r="AN97" s="99"/>
      <c r="AO97" s="14"/>
      <c r="AP97" s="148"/>
      <c r="AQ97" s="14"/>
      <c r="AR97" s="28" t="str">
        <f t="shared" si="226"/>
        <v/>
      </c>
      <c r="AT97" s="90" t="str">
        <f t="shared" si="210"/>
        <v/>
      </c>
      <c r="AV97" s="99"/>
      <c r="AW97" s="14"/>
      <c r="AX97" s="148"/>
      <c r="AY97" s="14"/>
      <c r="AZ97" s="28" t="str">
        <f t="shared" si="227"/>
        <v/>
      </c>
      <c r="BB97" s="90" t="str">
        <f t="shared" si="211"/>
        <v/>
      </c>
      <c r="BD97" s="99"/>
      <c r="BE97" s="14"/>
      <c r="BF97" s="148"/>
      <c r="BG97" s="14"/>
      <c r="BH97" s="28" t="str">
        <f t="shared" si="228"/>
        <v/>
      </c>
      <c r="BJ97" s="90" t="str">
        <f t="shared" si="212"/>
        <v/>
      </c>
      <c r="BL97" s="99"/>
      <c r="BM97" s="14"/>
      <c r="BN97" s="148"/>
      <c r="BO97" s="14"/>
      <c r="BP97" s="28" t="str">
        <f t="shared" si="229"/>
        <v/>
      </c>
      <c r="BR97" s="90" t="str">
        <f t="shared" si="213"/>
        <v/>
      </c>
      <c r="BT97" s="99"/>
      <c r="BU97" s="14"/>
      <c r="BV97" s="148"/>
      <c r="BW97" s="14"/>
      <c r="BX97" s="28" t="str">
        <f t="shared" si="230"/>
        <v/>
      </c>
      <c r="BZ97" s="90" t="str">
        <f t="shared" si="214"/>
        <v/>
      </c>
      <c r="CB97" s="99"/>
      <c r="CC97" s="14"/>
      <c r="CD97" s="148"/>
      <c r="CE97" s="14"/>
      <c r="CF97" s="28" t="str">
        <f t="shared" si="231"/>
        <v/>
      </c>
      <c r="CH97" s="90" t="str">
        <f t="shared" si="215"/>
        <v/>
      </c>
      <c r="CJ97" s="99"/>
      <c r="CK97" s="14"/>
      <c r="CL97" s="148"/>
      <c r="CM97" s="14"/>
      <c r="CN97" s="28" t="str">
        <f t="shared" si="232"/>
        <v/>
      </c>
      <c r="CP97" s="90" t="str">
        <f t="shared" si="216"/>
        <v/>
      </c>
      <c r="CR97" s="99"/>
      <c r="CS97" s="14"/>
      <c r="CT97" s="148"/>
      <c r="CU97" s="14"/>
      <c r="CV97" s="28" t="str">
        <f t="shared" si="233"/>
        <v/>
      </c>
      <c r="CX97" s="90" t="str">
        <f t="shared" si="217"/>
        <v/>
      </c>
    </row>
    <row r="98" spans="1:102" ht="15.6" x14ac:dyDescent="0.3">
      <c r="B98" s="51"/>
      <c r="C98" s="22" t="s">
        <v>148</v>
      </c>
      <c r="D98" s="78" t="e">
        <f t="shared" ref="D98" si="234">IF(AVERAGE(J98,R98,Z98,AH98,AP98,AX98,BF98,BN98,BV98,CD98,CL98,CT98)&lt;&gt;"",AVERAGE(J98,R98,Z98,AH98,AP98,AX98,BF98,BN98,BV98,CD98,CL98,CT98),"")</f>
        <v>#DIV/0!</v>
      </c>
      <c r="E98" s="130">
        <f t="shared" ref="E98" si="235">IF(SUM(J98,R98,Z98,AH98,AP98,AX98,BF98,BN98,BV98,CD98,CL98,CT98)&lt;&gt;"",SUM(J98,R98,Z98,AH98,AP98,AX98,BF98,BN98,BV98,CD98,CL98,CT98),"")</f>
        <v>0</v>
      </c>
      <c r="F98" s="80" t="str">
        <f t="shared" ref="F98" si="236">IF(E98&lt;&gt;0,E98/E$7,"")</f>
        <v/>
      </c>
      <c r="H98" s="99"/>
      <c r="J98" s="148"/>
      <c r="L98" s="28" t="str">
        <f t="shared" si="222"/>
        <v/>
      </c>
      <c r="N98" s="90" t="str">
        <f t="shared" si="221"/>
        <v/>
      </c>
      <c r="P98" s="99"/>
      <c r="Q98" s="14"/>
      <c r="R98" s="148"/>
      <c r="S98" s="14"/>
      <c r="T98" s="28"/>
      <c r="V98" s="90"/>
      <c r="X98" s="99"/>
      <c r="Y98" s="14"/>
      <c r="Z98" s="148"/>
      <c r="AA98" s="14"/>
      <c r="AB98" s="28"/>
      <c r="AC98" s="14"/>
      <c r="AD98" s="90"/>
      <c r="AF98" s="99"/>
      <c r="AG98" s="14"/>
      <c r="AH98" s="148"/>
      <c r="AI98" s="14"/>
      <c r="AJ98" s="28"/>
      <c r="AL98" s="90"/>
      <c r="AN98" s="99"/>
      <c r="AO98" s="14"/>
      <c r="AP98" s="148"/>
      <c r="AQ98" s="14"/>
      <c r="AR98" s="28"/>
      <c r="AT98" s="90"/>
      <c r="AV98" s="99"/>
      <c r="AW98" s="14"/>
      <c r="AX98" s="148"/>
      <c r="AY98" s="14"/>
      <c r="AZ98" s="28"/>
      <c r="BB98" s="90"/>
      <c r="BD98" s="99"/>
      <c r="BE98" s="14"/>
      <c r="BF98" s="148"/>
      <c r="BG98" s="14"/>
      <c r="BH98" s="28"/>
      <c r="BJ98" s="90"/>
      <c r="BL98" s="99"/>
      <c r="BM98" s="14"/>
      <c r="BN98" s="148"/>
      <c r="BO98" s="14"/>
      <c r="BP98" s="28"/>
      <c r="BR98" s="90"/>
      <c r="BT98" s="99"/>
      <c r="BU98" s="14"/>
      <c r="BV98" s="148"/>
      <c r="BW98" s="14"/>
      <c r="BX98" s="28"/>
      <c r="BZ98" s="90"/>
      <c r="CB98" s="99"/>
      <c r="CC98" s="14"/>
      <c r="CD98" s="148"/>
      <c r="CE98" s="14"/>
      <c r="CF98" s="28"/>
      <c r="CH98" s="90"/>
      <c r="CJ98" s="99"/>
      <c r="CK98" s="14"/>
      <c r="CL98" s="148"/>
      <c r="CM98" s="14"/>
      <c r="CN98" s="28"/>
      <c r="CP98" s="90"/>
      <c r="CR98" s="99"/>
      <c r="CS98" s="14"/>
      <c r="CT98" s="148"/>
      <c r="CU98" s="14"/>
      <c r="CV98" s="28"/>
      <c r="CX98" s="90"/>
    </row>
    <row r="99" spans="1:102" ht="16.2" thickBot="1" x14ac:dyDescent="0.35">
      <c r="B99" s="52"/>
      <c r="C99" s="62"/>
      <c r="D99" s="71"/>
      <c r="E99" s="133"/>
      <c r="F99" s="81"/>
      <c r="H99" s="64"/>
      <c r="J99" s="149"/>
      <c r="L99" s="65"/>
      <c r="N99" s="97"/>
      <c r="P99" s="64"/>
      <c r="Q99" s="14"/>
      <c r="R99" s="149"/>
      <c r="S99" s="14"/>
      <c r="T99" s="65"/>
      <c r="V99" s="90"/>
      <c r="X99" s="64"/>
      <c r="Y99" s="14"/>
      <c r="Z99" s="149"/>
      <c r="AA99" s="14"/>
      <c r="AB99" s="65"/>
      <c r="AC99" s="14"/>
      <c r="AD99" s="90"/>
      <c r="AF99" s="64"/>
      <c r="AG99" s="14"/>
      <c r="AH99" s="149"/>
      <c r="AI99" s="14"/>
      <c r="AJ99" s="65"/>
      <c r="AL99" s="90"/>
      <c r="AN99" s="64"/>
      <c r="AO99" s="14"/>
      <c r="AP99" s="149"/>
      <c r="AQ99" s="14"/>
      <c r="AR99" s="65"/>
      <c r="AT99" s="90"/>
      <c r="AV99" s="64"/>
      <c r="AW99" s="14"/>
      <c r="AX99" s="149"/>
      <c r="AY99" s="14"/>
      <c r="AZ99" s="65"/>
      <c r="BB99" s="90"/>
      <c r="BD99" s="64"/>
      <c r="BE99" s="14"/>
      <c r="BF99" s="149"/>
      <c r="BG99" s="14"/>
      <c r="BH99" s="65"/>
      <c r="BJ99" s="90"/>
      <c r="BL99" s="64"/>
      <c r="BM99" s="14"/>
      <c r="BN99" s="149"/>
      <c r="BO99" s="14"/>
      <c r="BP99" s="65"/>
      <c r="BR99" s="90"/>
      <c r="BT99" s="64"/>
      <c r="BU99" s="14"/>
      <c r="BV99" s="149"/>
      <c r="BW99" s="14"/>
      <c r="BX99" s="65"/>
      <c r="BZ99" s="90"/>
      <c r="CB99" s="64"/>
      <c r="CC99" s="14"/>
      <c r="CD99" s="149"/>
      <c r="CE99" s="14"/>
      <c r="CF99" s="65"/>
      <c r="CH99" s="90"/>
      <c r="CJ99" s="64"/>
      <c r="CK99" s="14"/>
      <c r="CL99" s="149"/>
      <c r="CM99" s="14"/>
      <c r="CN99" s="65"/>
      <c r="CP99" s="90"/>
      <c r="CR99" s="64"/>
      <c r="CS99" s="14"/>
      <c r="CT99" s="149"/>
      <c r="CU99" s="14"/>
      <c r="CV99" s="65"/>
      <c r="CX99" s="90"/>
    </row>
    <row r="100" spans="1:102" ht="9" customHeight="1" thickBot="1" x14ac:dyDescent="0.35">
      <c r="C100" s="39"/>
      <c r="F100" s="17"/>
      <c r="H100" s="36"/>
      <c r="J100" s="36"/>
      <c r="L100" s="31"/>
      <c r="N100" s="31"/>
      <c r="P100" s="36"/>
      <c r="Q100" s="14"/>
      <c r="R100" s="36"/>
      <c r="S100" s="14"/>
      <c r="T100" s="31"/>
      <c r="V100" s="31"/>
      <c r="X100" s="36"/>
      <c r="Y100" s="14"/>
      <c r="Z100" s="36"/>
      <c r="AA100" s="14"/>
      <c r="AB100" s="31"/>
      <c r="AC100" s="14"/>
      <c r="AD100" s="31"/>
      <c r="AF100" s="36"/>
      <c r="AG100" s="14"/>
      <c r="AH100" s="36"/>
      <c r="AI100" s="14"/>
      <c r="AJ100" s="31"/>
      <c r="AL100" s="31"/>
      <c r="AN100" s="36"/>
      <c r="AO100" s="14"/>
      <c r="AP100" s="36"/>
      <c r="AQ100" s="14"/>
      <c r="AR100" s="31"/>
      <c r="AT100" s="31"/>
      <c r="AV100" s="36"/>
      <c r="AW100" s="14"/>
      <c r="AX100" s="36"/>
      <c r="AY100" s="14"/>
      <c r="AZ100" s="31"/>
      <c r="BB100" s="31"/>
      <c r="BD100" s="36"/>
      <c r="BE100" s="14"/>
      <c r="BF100" s="36"/>
      <c r="BG100" s="14"/>
      <c r="BH100" s="31"/>
      <c r="BJ100" s="31"/>
      <c r="BL100" s="36"/>
      <c r="BM100" s="14"/>
      <c r="BN100" s="36"/>
      <c r="BO100" s="14"/>
      <c r="BP100" s="31"/>
      <c r="BR100" s="31"/>
      <c r="BT100" s="36"/>
      <c r="BU100" s="14"/>
      <c r="BV100" s="36"/>
      <c r="BW100" s="14"/>
      <c r="BX100" s="31"/>
      <c r="BZ100" s="31"/>
      <c r="CB100" s="36"/>
      <c r="CC100" s="14"/>
      <c r="CD100" s="36"/>
      <c r="CE100" s="14"/>
      <c r="CF100" s="31"/>
      <c r="CH100" s="31"/>
      <c r="CJ100" s="36"/>
      <c r="CK100" s="14"/>
      <c r="CL100" s="36"/>
      <c r="CM100" s="14"/>
      <c r="CN100" s="31"/>
      <c r="CP100" s="31"/>
      <c r="CR100" s="36"/>
      <c r="CS100" s="14"/>
      <c r="CT100" s="36"/>
      <c r="CU100" s="14"/>
      <c r="CV100" s="31"/>
      <c r="CX100" s="31"/>
    </row>
    <row r="101" spans="1:102" ht="16.2" thickBot="1" x14ac:dyDescent="0.35">
      <c r="B101" s="208" t="s">
        <v>128</v>
      </c>
      <c r="C101" s="209"/>
      <c r="D101" s="37" t="e">
        <f>SUM(D91,D82,D75,D50,D43,D27)</f>
        <v>#DIV/0!</v>
      </c>
      <c r="E101" s="135">
        <f>SUM(E91,E82,E75,E50,E43,E27)</f>
        <v>0</v>
      </c>
      <c r="F101" s="100" t="e">
        <f>D101/D7</f>
        <v>#DIV/0!</v>
      </c>
      <c r="H101" s="38">
        <f>IF(SUM(H91,H82,H75,H50,H43,H27)&lt;&gt;"",SUM(H91,H82,H75,H50,H43,H27),"")</f>
        <v>0</v>
      </c>
      <c r="J101" s="38">
        <f>IF(SUM(J91,J82,J75,J50,J43,J27)&lt;&gt;"",SUM(J91,J82,J75,J50,J43,J27),"")</f>
        <v>0</v>
      </c>
      <c r="L101" s="101" t="str">
        <f>IF(J101&lt;&gt;0,J101/J7,"")</f>
        <v/>
      </c>
      <c r="N101" s="30" t="e">
        <f>IF(J101&lt;&gt;"",(J101/$D101)-1,"")</f>
        <v>#DIV/0!</v>
      </c>
      <c r="P101" s="38">
        <f>IF(SUM(P91,P82,P75,P50,P43,P27)&lt;&gt;"",SUM(P91,P82,P75,P50,P43,P27),"")</f>
        <v>0</v>
      </c>
      <c r="Q101" s="14"/>
      <c r="R101" s="38">
        <f>IF(SUM(R91,R82,R75,R50,R43,R27)&lt;&gt;"",SUM(R91,R82,R75,R50,R43,R27),"")</f>
        <v>0</v>
      </c>
      <c r="S101" s="14"/>
      <c r="T101" s="101" t="str">
        <f>IF(R101&lt;&gt;0,R101/R7,"")</f>
        <v/>
      </c>
      <c r="V101" s="102" t="str">
        <f t="shared" ref="V101" si="237">IF(R101&lt;&gt;0,(R101/P101)-1,"")</f>
        <v/>
      </c>
      <c r="X101" s="38">
        <f>IF(SUM(X91,X82,X75,X50,X43,X27)&lt;&gt;"",SUM(X91,X82,X75,X50,X43,X27),"")</f>
        <v>0</v>
      </c>
      <c r="Y101" s="14"/>
      <c r="Z101" s="38">
        <f>IF(SUM(Z91,Z82,Z75,Z50,Z43,Z27)&lt;&gt;"",SUM(Z91,Z82,Z75,Z50,Z43,Z27),"")</f>
        <v>0</v>
      </c>
      <c r="AA101" s="14"/>
      <c r="AB101" s="101" t="str">
        <f>IF(Z101&lt;&gt;0,Z101/Z7,"")</f>
        <v/>
      </c>
      <c r="AC101" s="14"/>
      <c r="AD101" s="102" t="str">
        <f t="shared" ref="AD101" si="238">IF(Z101&lt;&gt;0,(Z101/X101)-1,"")</f>
        <v/>
      </c>
      <c r="AF101" s="38">
        <f>IF(SUM(AF91,AF82,AF75,AF50,AF43,AF27)&lt;&gt;"",SUM(AF91,AF82,AF75,AF50,AF43,AF27),"")</f>
        <v>0</v>
      </c>
      <c r="AG101" s="14"/>
      <c r="AH101" s="38">
        <f>IF(SUM(AH91,AH82,AH75,AH50,AH43,AH27)&lt;&gt;"",SUM(AH91,AH82,AH75,AH50,AH43,AH27),"")</f>
        <v>0</v>
      </c>
      <c r="AI101" s="14"/>
      <c r="AJ101" s="101" t="str">
        <f>IF(AH101&lt;&gt;0,AH101/AH7,"")</f>
        <v/>
      </c>
      <c r="AL101" s="102" t="str">
        <f t="shared" ref="AL101" si="239">IF(AH101&lt;&gt;0,(AH101/AF101)-1,"")</f>
        <v/>
      </c>
      <c r="AN101" s="38">
        <f>IF(SUM(AN91,AN82,AN75,AN50,AN43,AN27)&lt;&gt;"",SUM(AN91,AN82,AN75,AN50,AN43,AN27),"")</f>
        <v>0</v>
      </c>
      <c r="AO101" s="14"/>
      <c r="AP101" s="38">
        <f>IF(SUM(AP91,AP82,AP75,AP50,AP43,AP27)&lt;&gt;"",SUM(AP91,AP82,AP75,AP50,AP43,AP27),"")</f>
        <v>0</v>
      </c>
      <c r="AQ101" s="14"/>
      <c r="AR101" s="101" t="str">
        <f>IF(AP101&lt;&gt;0,AP101/AP7,"")</f>
        <v/>
      </c>
      <c r="AT101" s="102" t="str">
        <f t="shared" ref="AT101" si="240">IF(AP101&lt;&gt;0,(AP101/AN101)-1,"")</f>
        <v/>
      </c>
      <c r="AV101" s="38">
        <f>IF(SUM(AV91,AV82,AV75,AV50,AV43,AV27)&lt;&gt;"",SUM(AV91,AV82,AV75,AV50,AV43,AV27),"")</f>
        <v>0</v>
      </c>
      <c r="AW101" s="14"/>
      <c r="AX101" s="38">
        <f>IF(SUM(AX91,AX82,AX75,AX50,AX43,AX27)&lt;&gt;"",SUM(AX91,AX82,AX75,AX50,AX43,AX27),"")</f>
        <v>0</v>
      </c>
      <c r="AY101" s="14"/>
      <c r="AZ101" s="101" t="str">
        <f>IF(AX101&lt;&gt;0,AX101/AX7,"")</f>
        <v/>
      </c>
      <c r="BB101" s="102" t="str">
        <f t="shared" ref="BB101" si="241">IF(AX101&lt;&gt;0,(AX101/AV101)-1,"")</f>
        <v/>
      </c>
      <c r="BD101" s="38">
        <f>IF(SUM(BD91,BD82,BD75,BD50,BD43,BD27)&lt;&gt;"",SUM(BD91,BD82,BD75,BD50,BD43,BD27),"")</f>
        <v>0</v>
      </c>
      <c r="BE101" s="14"/>
      <c r="BF101" s="38">
        <f>IF(SUM(BF91,BF82,BF75,BF50,BF43,BF27)&lt;&gt;"",SUM(BF91,BF82,BF75,BF50,BF43,BF27),"")</f>
        <v>0</v>
      </c>
      <c r="BG101" s="14"/>
      <c r="BH101" s="101" t="str">
        <f>IF(BF101&lt;&gt;0,BF101/BF7,"")</f>
        <v/>
      </c>
      <c r="BJ101" s="102" t="str">
        <f t="shared" ref="BJ101" si="242">IF(BF101&lt;&gt;0,(BF101/BD101)-1,"")</f>
        <v/>
      </c>
      <c r="BL101" s="38">
        <f>IF(SUM(BL91,BL82,BL75,BL50,BL43,BL27)&lt;&gt;"",SUM(BL91,BL82,BL75,BL50,BL43,BL27),"")</f>
        <v>0</v>
      </c>
      <c r="BM101" s="14"/>
      <c r="BN101" s="38">
        <f>IF(SUM(BN91,BN82,BN75,BN50,BN43,BN27)&lt;&gt;"",SUM(BN91,BN82,BN75,BN50,BN43,BN27),"")</f>
        <v>0</v>
      </c>
      <c r="BO101" s="14"/>
      <c r="BP101" s="101" t="str">
        <f>IF(BN101&lt;&gt;0,BN101/BN7,"")</f>
        <v/>
      </c>
      <c r="BR101" s="102" t="str">
        <f t="shared" ref="BR101" si="243">IF(BN101&lt;&gt;0,(BN101/BL101)-1,"")</f>
        <v/>
      </c>
      <c r="BT101" s="38">
        <f>IF(SUM(BT91,BT82,BT75,BT50,BT43,BT27)&lt;&gt;"",SUM(BT91,BT82,BT75,BT50,BT43,BT27),"")</f>
        <v>0</v>
      </c>
      <c r="BU101" s="14"/>
      <c r="BV101" s="38">
        <f>IF(SUM(BV91,BV82,BV75,BV50,BV43,BV27)&lt;&gt;"",SUM(BV91,BV82,BV75,BV50,BV43,BV27),"")</f>
        <v>0</v>
      </c>
      <c r="BW101" s="14"/>
      <c r="BX101" s="101" t="str">
        <f>IF(BV101&lt;&gt;0,BV101/BV7,"")</f>
        <v/>
      </c>
      <c r="BZ101" s="102" t="str">
        <f t="shared" ref="BZ101" si="244">IF(BV101&lt;&gt;0,(BV101/BT101)-1,"")</f>
        <v/>
      </c>
      <c r="CB101" s="38">
        <f>IF(SUM(CB91,CB82,CB75,CB50,CB43,CB27)&lt;&gt;"",SUM(CB91,CB82,CB75,CB50,CB43,CB27),"")</f>
        <v>0</v>
      </c>
      <c r="CC101" s="14"/>
      <c r="CD101" s="38">
        <f>IF(SUM(CD91,CD82,CD75,CD50,CD43,CD27)&lt;&gt;"",SUM(CD91,CD82,CD75,CD50,CD43,CD27),"")</f>
        <v>0</v>
      </c>
      <c r="CE101" s="14"/>
      <c r="CF101" s="101" t="str">
        <f>IF(CD101&lt;&gt;0,CD101/CD7,"")</f>
        <v/>
      </c>
      <c r="CH101" s="102" t="str">
        <f t="shared" ref="CH101" si="245">IF(CD101&lt;&gt;0,(CD101/CB101)-1,"")</f>
        <v/>
      </c>
      <c r="CJ101" s="38">
        <f>IF(SUM(CJ91,CJ82,CJ75,CJ50,CJ43,CJ27)&lt;&gt;"",SUM(CJ91,CJ82,CJ75,CJ50,CJ43,CJ27),"")</f>
        <v>0</v>
      </c>
      <c r="CK101" s="14"/>
      <c r="CL101" s="38">
        <f>IF(SUM(CL91,CL82,CL75,CL50,CL43,CL27)&lt;&gt;"",SUM(CL91,CL82,CL75,CL50,CL43,CL27),"")</f>
        <v>0</v>
      </c>
      <c r="CM101" s="14"/>
      <c r="CN101" s="101" t="str">
        <f>IF(CL101&lt;&gt;0,CL101/CL7,"")</f>
        <v/>
      </c>
      <c r="CP101" s="102" t="str">
        <f t="shared" ref="CP101" si="246">IF(CL101&lt;&gt;0,(CL101/CJ101)-1,"")</f>
        <v/>
      </c>
      <c r="CR101" s="38">
        <f>IF(SUM(CR91,CR82,CR75,CR50,CR43,CR27)&lt;&gt;"",SUM(CR91,CR82,CR75,CR50,CR43,CR27),"")</f>
        <v>0</v>
      </c>
      <c r="CS101" s="14"/>
      <c r="CT101" s="38">
        <f>IF(SUM(CT91,CT82,CT75,CT50,CT43,CT27)&lt;&gt;"",SUM(CT91,CT82,CT75,CT50,CT43,CT27),"")</f>
        <v>0</v>
      </c>
      <c r="CU101" s="14"/>
      <c r="CV101" s="101" t="str">
        <f>IF(CT101&lt;&gt;0,CT101/CT7,"")</f>
        <v/>
      </c>
      <c r="CX101" s="102" t="str">
        <f t="shared" ref="CX101" si="247">IF(CT101&lt;&gt;0,(CT101/CR101)-1,"")</f>
        <v/>
      </c>
    </row>
    <row r="102" spans="1:102" ht="9" customHeight="1" thickBot="1" x14ac:dyDescent="0.35">
      <c r="C102" s="39"/>
      <c r="F102" s="17"/>
      <c r="H102" s="36"/>
      <c r="J102" s="36"/>
      <c r="L102" s="31"/>
      <c r="N102" s="31"/>
      <c r="P102" s="36"/>
      <c r="Q102" s="14"/>
      <c r="R102" s="36"/>
      <c r="S102" s="14"/>
      <c r="T102" s="31"/>
      <c r="V102" s="31"/>
      <c r="X102" s="36"/>
      <c r="Y102" s="14"/>
      <c r="Z102" s="36"/>
      <c r="AA102" s="14"/>
      <c r="AB102" s="31"/>
      <c r="AC102" s="14"/>
      <c r="AD102" s="31"/>
      <c r="AF102" s="36"/>
      <c r="AG102" s="14"/>
      <c r="AH102" s="36"/>
      <c r="AI102" s="14"/>
      <c r="AJ102" s="31"/>
      <c r="AL102" s="31"/>
      <c r="AN102" s="36"/>
      <c r="AO102" s="14"/>
      <c r="AP102" s="36"/>
      <c r="AQ102" s="14"/>
      <c r="AR102" s="31"/>
      <c r="AT102" s="31"/>
      <c r="AV102" s="36"/>
      <c r="AW102" s="14"/>
      <c r="AX102" s="36"/>
      <c r="AY102" s="14"/>
      <c r="AZ102" s="31"/>
      <c r="BB102" s="31"/>
      <c r="BD102" s="36"/>
      <c r="BE102" s="14"/>
      <c r="BF102" s="36"/>
      <c r="BG102" s="14"/>
      <c r="BH102" s="31"/>
      <c r="BJ102" s="31"/>
      <c r="BL102" s="36"/>
      <c r="BM102" s="14"/>
      <c r="BN102" s="36"/>
      <c r="BO102" s="14"/>
      <c r="BP102" s="31"/>
      <c r="BR102" s="31"/>
      <c r="BT102" s="36"/>
      <c r="BU102" s="14"/>
      <c r="BV102" s="36"/>
      <c r="BW102" s="14"/>
      <c r="BX102" s="31"/>
      <c r="BZ102" s="31"/>
      <c r="CB102" s="36"/>
      <c r="CC102" s="14"/>
      <c r="CD102" s="36"/>
      <c r="CE102" s="14"/>
      <c r="CF102" s="31"/>
      <c r="CH102" s="31"/>
      <c r="CJ102" s="36"/>
      <c r="CK102" s="14"/>
      <c r="CL102" s="36"/>
      <c r="CM102" s="14"/>
      <c r="CN102" s="31"/>
      <c r="CP102" s="31"/>
      <c r="CR102" s="36"/>
      <c r="CS102" s="14"/>
      <c r="CT102" s="36"/>
      <c r="CU102" s="14"/>
      <c r="CV102" s="31"/>
      <c r="CX102" s="31"/>
    </row>
    <row r="103" spans="1:102" s="92" customFormat="1" ht="16.2" thickBot="1" x14ac:dyDescent="0.35">
      <c r="A103" s="87"/>
      <c r="B103" s="210" t="s">
        <v>31</v>
      </c>
      <c r="C103" s="211"/>
      <c r="D103" s="60" t="e">
        <f t="shared" ref="D103" si="248">IF(AVERAGE(J103,R103,Z103,AH103,AP103,AX103,BF103,BN103,BV103,CD103,CL103,CT103)&lt;&gt;"",AVERAGE(J103,R103,Z103,AH103,AP103,AX103,BF103,BN103,BV103,CD103,CL103,CT103),"")</f>
        <v>#DIV/0!</v>
      </c>
      <c r="E103" s="205">
        <f t="shared" ref="E103" si="249">IF(SUM(J103,R103,Z103,AH103,AP103,AX103,BF103,BN103,BV103,CD103,CL103,CT103)&lt;&gt;"",SUM(J103,R103,Z103,AH103,AP103,AX103,BF103,BN103,BV103,CD103,CL103,CT103),"")</f>
        <v>0</v>
      </c>
      <c r="F103" s="58" t="e">
        <f>D103/D7</f>
        <v>#DIV/0!</v>
      </c>
      <c r="H103" s="60" t="str">
        <f>IF(H23&lt;&gt;"",H23-H101,"")</f>
        <v/>
      </c>
      <c r="J103" s="107" t="str">
        <f>IF(J23&lt;&gt;"",J23-J101,"")</f>
        <v/>
      </c>
      <c r="L103" s="93" t="str">
        <f>IF(J103&lt;&gt;"",J103/J7,"")</f>
        <v/>
      </c>
      <c r="N103" s="61" t="str">
        <f>IF(J103&lt;&gt;"",(J103/$D103)-1,"")</f>
        <v/>
      </c>
      <c r="P103" s="60" t="str">
        <f>IF(P23&lt;&gt;"",P23-P101,"")</f>
        <v/>
      </c>
      <c r="R103" s="107" t="str">
        <f>IF(R23&lt;&gt;"",R23-R101,"")</f>
        <v/>
      </c>
      <c r="T103" s="93" t="str">
        <f>IF(R103&lt;&gt;"",R103/R7,"")</f>
        <v/>
      </c>
      <c r="V103" s="93" t="str">
        <f>IF(R103&lt;&gt;"",(R103/P103)-1,"")</f>
        <v/>
      </c>
      <c r="X103" s="60" t="str">
        <f>IF(X23&lt;&gt;"",X23-X101,"")</f>
        <v/>
      </c>
      <c r="Z103" s="107" t="str">
        <f>IF(Z23&lt;&gt;"",Z23-Z101,"")</f>
        <v/>
      </c>
      <c r="AB103" s="93" t="str">
        <f>IF(Z103&lt;&gt;"",Z103/Z7,"")</f>
        <v/>
      </c>
      <c r="AD103" s="93" t="str">
        <f>IF(Z103&lt;&gt;"",(Z103/X103)-1,"")</f>
        <v/>
      </c>
      <c r="AF103" s="60" t="str">
        <f>IF(AF23&lt;&gt;"",AF23-AF101,"")</f>
        <v/>
      </c>
      <c r="AH103" s="107" t="str">
        <f>IF(AH23&lt;&gt;"",AH23-AH101,"")</f>
        <v/>
      </c>
      <c r="AJ103" s="93" t="str">
        <f>IF(AH103&lt;&gt;"",AH103/AH7,"")</f>
        <v/>
      </c>
      <c r="AL103" s="93" t="str">
        <f>IF(AH103&lt;&gt;"",(AH103/AF103)-1,"")</f>
        <v/>
      </c>
      <c r="AN103" s="60" t="str">
        <f>IF(AN23&lt;&gt;"",AN23-AN101,"")</f>
        <v/>
      </c>
      <c r="AP103" s="107" t="str">
        <f>IF(AP23&lt;&gt;"",AP23-AP101,"")</f>
        <v/>
      </c>
      <c r="AR103" s="93" t="str">
        <f>IF(AP103&lt;&gt;"",AP103/AP7,"")</f>
        <v/>
      </c>
      <c r="AT103" s="93" t="str">
        <f>IF(AP103&lt;&gt;"",(AP103/AN103)-1,"")</f>
        <v/>
      </c>
      <c r="AV103" s="60" t="str">
        <f>IF(AV23&lt;&gt;"",AV23-AV101,"")</f>
        <v/>
      </c>
      <c r="AX103" s="107" t="str">
        <f>IF(AX23&lt;&gt;"",AX23-AX101,"")</f>
        <v/>
      </c>
      <c r="AZ103" s="93" t="str">
        <f>IF(AX103&lt;&gt;"",AX103/AX7,"")</f>
        <v/>
      </c>
      <c r="BB103" s="93" t="str">
        <f>IF(AX103&lt;&gt;"",(AX103/AV103)-1,"")</f>
        <v/>
      </c>
      <c r="BD103" s="60" t="str">
        <f>IF(BD23&lt;&gt;"",BD23-BD101,"")</f>
        <v/>
      </c>
      <c r="BF103" s="107" t="str">
        <f>IF(BF23&lt;&gt;"",BF23-BF101,"")</f>
        <v/>
      </c>
      <c r="BH103" s="93" t="str">
        <f>IF(BF103&lt;&gt;"",BF103/BF7,"")</f>
        <v/>
      </c>
      <c r="BJ103" s="93" t="str">
        <f>IF(BF103&lt;&gt;"",(BF103/BD103)-1,"")</f>
        <v/>
      </c>
      <c r="BL103" s="60" t="str">
        <f>IF(BL23&lt;&gt;"",BL23-BL101,"")</f>
        <v/>
      </c>
      <c r="BN103" s="107" t="str">
        <f>IF(BN23&lt;&gt;"",BN23-BN101,"")</f>
        <v/>
      </c>
      <c r="BP103" s="93" t="str">
        <f>IF(BN103&lt;&gt;"",BN103/BN7,"")</f>
        <v/>
      </c>
      <c r="BR103" s="93" t="str">
        <f>IF(BN103&lt;&gt;"",(BN103/BL103)-1,"")</f>
        <v/>
      </c>
      <c r="BT103" s="60" t="str">
        <f>IF(BT23&lt;&gt;"",BT23-BT101,"")</f>
        <v/>
      </c>
      <c r="BV103" s="107" t="str">
        <f>IF(BV23&lt;&gt;"",BV23-BV101,"")</f>
        <v/>
      </c>
      <c r="BX103" s="93" t="str">
        <f>IF(BV103&lt;&gt;"",BV103/BV7,"")</f>
        <v/>
      </c>
      <c r="BZ103" s="93" t="str">
        <f>IF(BV103&lt;&gt;"",(BV103/BT103)-1,"")</f>
        <v/>
      </c>
      <c r="CB103" s="60" t="str">
        <f>IF(CB23&lt;&gt;"",CB23-CB101,"")</f>
        <v/>
      </c>
      <c r="CD103" s="60" t="str">
        <f>IF(CD23&lt;&gt;"",CD23-CD101,"")</f>
        <v/>
      </c>
      <c r="CF103" s="93" t="str">
        <f>IF(CD103&lt;&gt;"",CD103/CD7,"")</f>
        <v/>
      </c>
      <c r="CH103" s="93" t="str">
        <f>IF(CD103&lt;&gt;"",(CD103/CB103)-1,"")</f>
        <v/>
      </c>
      <c r="CJ103" s="60" t="str">
        <f>IF(CJ23&lt;&gt;"",CJ23-CJ101,"")</f>
        <v/>
      </c>
      <c r="CL103" s="60" t="str">
        <f>IF(CL23&lt;&gt;"",CL23-CL101,"")</f>
        <v/>
      </c>
      <c r="CN103" s="93" t="str">
        <f>IF(CL103&lt;&gt;"",CL103/CL7,"")</f>
        <v/>
      </c>
      <c r="CP103" s="93" t="str">
        <f>IF(CL103&lt;&gt;"",(CL103/CJ103)-1,"")</f>
        <v/>
      </c>
      <c r="CR103" s="60" t="str">
        <f>IF(CR23&lt;&gt;"",CR23-CR101,"")</f>
        <v/>
      </c>
      <c r="CT103" s="60" t="str">
        <f>IF(CT23&lt;&gt;"",CT23-CT101,"")</f>
        <v/>
      </c>
      <c r="CV103" s="93" t="str">
        <f>IF(CT103&lt;&gt;"",CT103/CT7,"")</f>
        <v/>
      </c>
      <c r="CX103" s="93" t="str">
        <f>IF(CT103&lt;&gt;"",(CT103/CR103)-1,"")</f>
        <v/>
      </c>
    </row>
    <row r="104" spans="1:102" ht="9" customHeight="1" thickBot="1" x14ac:dyDescent="0.35">
      <c r="C104" s="39"/>
      <c r="F104" s="17"/>
      <c r="H104" s="36"/>
      <c r="J104" s="36"/>
      <c r="L104" s="31"/>
      <c r="N104" s="31"/>
      <c r="P104" s="36"/>
      <c r="Q104" s="14"/>
      <c r="R104" s="36"/>
      <c r="S104" s="14"/>
      <c r="T104" s="31"/>
      <c r="V104" s="31"/>
      <c r="X104" s="36"/>
      <c r="Y104" s="14"/>
      <c r="Z104" s="36"/>
      <c r="AA104" s="14"/>
      <c r="AB104" s="31"/>
      <c r="AC104" s="14"/>
      <c r="AD104" s="31"/>
      <c r="AF104" s="36"/>
      <c r="AG104" s="14"/>
      <c r="AH104" s="36"/>
      <c r="AI104" s="14"/>
      <c r="AJ104" s="31"/>
      <c r="AL104" s="31"/>
      <c r="AN104" s="36"/>
      <c r="AO104" s="14"/>
      <c r="AP104" s="36"/>
      <c r="AQ104" s="14"/>
      <c r="AR104" s="31"/>
      <c r="AT104" s="31"/>
      <c r="AV104" s="36"/>
      <c r="AW104" s="14"/>
      <c r="AX104" s="36"/>
      <c r="AY104" s="14"/>
      <c r="AZ104" s="31"/>
      <c r="BB104" s="31"/>
      <c r="BD104" s="36"/>
      <c r="BE104" s="14"/>
      <c r="BF104" s="36"/>
      <c r="BG104" s="14"/>
      <c r="BH104" s="31"/>
      <c r="BJ104" s="31"/>
      <c r="BL104" s="36"/>
      <c r="BM104" s="14"/>
      <c r="BN104" s="36"/>
      <c r="BO104" s="14"/>
      <c r="BP104" s="31"/>
      <c r="BR104" s="31"/>
      <c r="BT104" s="36"/>
      <c r="BU104" s="14"/>
      <c r="BV104" s="36"/>
      <c r="BW104" s="14"/>
      <c r="BX104" s="31"/>
      <c r="BZ104" s="31"/>
      <c r="CB104" s="36"/>
      <c r="CC104" s="14"/>
      <c r="CD104" s="36"/>
      <c r="CE104" s="14"/>
      <c r="CF104" s="31"/>
      <c r="CH104" s="31"/>
      <c r="CJ104" s="36"/>
      <c r="CK104" s="14"/>
      <c r="CL104" s="36"/>
      <c r="CM104" s="14"/>
      <c r="CN104" s="31"/>
      <c r="CP104" s="31"/>
      <c r="CR104" s="36"/>
      <c r="CS104" s="14"/>
      <c r="CT104" s="36"/>
      <c r="CU104" s="14"/>
      <c r="CV104" s="31"/>
      <c r="CX104" s="31"/>
    </row>
    <row r="105" spans="1:102" ht="16.2" thickBot="1" x14ac:dyDescent="0.35">
      <c r="B105" s="103" t="s">
        <v>39</v>
      </c>
      <c r="C105" s="23"/>
      <c r="D105" s="23"/>
      <c r="E105" s="129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3"/>
      <c r="CA105" s="23"/>
      <c r="CB105" s="23"/>
      <c r="CC105" s="23"/>
      <c r="CD105" s="23"/>
      <c r="CE105" s="23"/>
      <c r="CF105" s="23"/>
      <c r="CG105" s="23"/>
      <c r="CH105" s="23"/>
      <c r="CI105" s="23"/>
      <c r="CJ105" s="23"/>
      <c r="CK105" s="23"/>
      <c r="CL105" s="23"/>
      <c r="CM105" s="23"/>
      <c r="CN105" s="23"/>
      <c r="CO105" s="23"/>
      <c r="CP105" s="23"/>
      <c r="CQ105" s="23"/>
      <c r="CR105" s="23"/>
      <c r="CS105" s="23"/>
      <c r="CT105" s="23"/>
      <c r="CU105" s="23"/>
      <c r="CV105" s="23"/>
      <c r="CW105" s="23"/>
      <c r="CX105" s="23"/>
    </row>
    <row r="106" spans="1:102" ht="9" customHeight="1" thickBot="1" x14ac:dyDescent="0.35">
      <c r="C106" s="39"/>
      <c r="F106" s="17"/>
      <c r="H106" s="36"/>
      <c r="J106" s="36"/>
      <c r="L106" s="31"/>
      <c r="N106" s="31"/>
      <c r="P106" s="36"/>
      <c r="Q106" s="14"/>
      <c r="R106" s="36"/>
      <c r="S106" s="14"/>
      <c r="T106" s="31"/>
      <c r="V106" s="31"/>
      <c r="X106" s="36"/>
      <c r="Y106" s="14"/>
      <c r="Z106" s="36"/>
      <c r="AA106" s="14"/>
      <c r="AB106" s="31"/>
      <c r="AC106" s="14"/>
      <c r="AD106" s="31"/>
      <c r="AF106" s="36"/>
      <c r="AG106" s="14"/>
      <c r="AH106" s="36"/>
      <c r="AI106" s="14"/>
      <c r="AJ106" s="31"/>
      <c r="AL106" s="31"/>
      <c r="AN106" s="36"/>
      <c r="AO106" s="14"/>
      <c r="AP106" s="36"/>
      <c r="AQ106" s="14"/>
      <c r="AR106" s="31"/>
      <c r="AT106" s="31"/>
      <c r="AV106" s="36"/>
      <c r="AW106" s="14"/>
      <c r="AX106" s="36"/>
      <c r="AY106" s="14"/>
      <c r="AZ106" s="31"/>
      <c r="BB106" s="31"/>
      <c r="BD106" s="36"/>
      <c r="BE106" s="14"/>
      <c r="BF106" s="36"/>
      <c r="BG106" s="14"/>
      <c r="BH106" s="31"/>
      <c r="BJ106" s="31"/>
      <c r="BL106" s="36"/>
      <c r="BM106" s="14"/>
      <c r="BN106" s="36"/>
      <c r="BO106" s="14"/>
      <c r="BP106" s="31"/>
      <c r="BR106" s="31"/>
      <c r="BT106" s="36"/>
      <c r="BU106" s="14"/>
      <c r="BV106" s="36"/>
      <c r="BW106" s="14"/>
      <c r="BX106" s="31"/>
      <c r="BZ106" s="31"/>
      <c r="CB106" s="36"/>
      <c r="CC106" s="14"/>
      <c r="CD106" s="36"/>
      <c r="CE106" s="14"/>
      <c r="CF106" s="31"/>
      <c r="CH106" s="31"/>
      <c r="CJ106" s="36"/>
      <c r="CK106" s="14"/>
      <c r="CL106" s="36"/>
      <c r="CM106" s="14"/>
      <c r="CN106" s="31"/>
      <c r="CP106" s="31"/>
      <c r="CR106" s="36"/>
      <c r="CS106" s="14"/>
      <c r="CT106" s="36"/>
      <c r="CU106" s="14"/>
      <c r="CV106" s="31"/>
      <c r="CX106" s="31"/>
    </row>
    <row r="107" spans="1:102" ht="16.2" thickBot="1" x14ac:dyDescent="0.35">
      <c r="B107" s="208" t="s">
        <v>40</v>
      </c>
      <c r="C107" s="212"/>
      <c r="D107" s="104" t="e">
        <f t="shared" ref="D107:F107" si="250">IF(SUM(D108:D110)&lt;&gt;0,SUM(D108:D110),"")</f>
        <v>#DIV/0!</v>
      </c>
      <c r="E107" s="137" t="str">
        <f t="shared" si="250"/>
        <v/>
      </c>
      <c r="F107" s="75" t="str">
        <f t="shared" si="250"/>
        <v/>
      </c>
      <c r="H107" s="38">
        <f>IF(SUM(H108:H110)&lt;&gt;"",SUM(H108:H110),"")</f>
        <v>0</v>
      </c>
      <c r="J107" s="38">
        <f>IF(SUM(J108:J110)&lt;&gt;"",SUM(J108:J110),"")</f>
        <v>0</v>
      </c>
      <c r="L107" s="53" t="str">
        <f>IF(SUM(L108:L110)&lt;&gt;0,SUM(L108:L110),"")</f>
        <v/>
      </c>
      <c r="N107" s="30" t="e">
        <f>IF(J107&lt;&gt;"",(J107/$D107)-1,"")</f>
        <v>#DIV/0!</v>
      </c>
      <c r="P107" s="38">
        <f>IF(SUM(P108:P110)&lt;&gt;"",SUM(P108:P110),"")</f>
        <v>0</v>
      </c>
      <c r="Q107" s="14"/>
      <c r="R107" s="38">
        <f>IF(SUM(R108:R110)&lt;&gt;"",SUM(R108:R110),"")</f>
        <v>0</v>
      </c>
      <c r="S107" s="14"/>
      <c r="T107" s="53" t="str">
        <f>IF(SUM(T108:T110)&lt;&gt;0,SUM(T108:T110),"")</f>
        <v/>
      </c>
      <c r="V107" s="94" t="str">
        <f t="shared" ref="V107:V110" si="251">IF(R107&lt;&gt;0,(R107/P107)-1,"")</f>
        <v/>
      </c>
      <c r="X107" s="38">
        <f>IF(SUM(X108:X110)&lt;&gt;"",SUM(X108:X110),"")</f>
        <v>0</v>
      </c>
      <c r="Y107" s="14"/>
      <c r="Z107" s="38">
        <f>IF(SUM(Z108:Z110)&lt;&gt;"",SUM(Z108:Z110),"")</f>
        <v>0</v>
      </c>
      <c r="AA107" s="14"/>
      <c r="AB107" s="53" t="str">
        <f>IF(SUM(AB108:AB110)&lt;&gt;0,SUM(AB108:AB110),"")</f>
        <v/>
      </c>
      <c r="AC107" s="14"/>
      <c r="AD107" s="94" t="str">
        <f t="shared" ref="AD107:AD110" si="252">IF(Z107&lt;&gt;0,(Z107/X107)-1,"")</f>
        <v/>
      </c>
      <c r="AF107" s="38">
        <f>IF(SUM(AF108:AF110)&lt;&gt;"",SUM(AF108:AF110),"")</f>
        <v>0</v>
      </c>
      <c r="AG107" s="14"/>
      <c r="AH107" s="38">
        <f>IF(SUM(AH108:AH110)&lt;&gt;"",SUM(AH108:AH110),"")</f>
        <v>0</v>
      </c>
      <c r="AI107" s="14"/>
      <c r="AJ107" s="53" t="str">
        <f>IF(SUM(AJ108:AJ110)&lt;&gt;0,SUM(AJ108:AJ110),"")</f>
        <v/>
      </c>
      <c r="AL107" s="94" t="str">
        <f t="shared" ref="AL107:AL110" si="253">IF(AH107&lt;&gt;0,(AH107/AF107)-1,"")</f>
        <v/>
      </c>
      <c r="AN107" s="38">
        <f>IF(SUM(AN108:AN110)&lt;&gt;"",SUM(AN108:AN110),"")</f>
        <v>0</v>
      </c>
      <c r="AO107" s="14"/>
      <c r="AP107" s="38">
        <f>IF(SUM(AP108:AP110)&lt;&gt;"",SUM(AP108:AP110),"")</f>
        <v>0</v>
      </c>
      <c r="AQ107" s="14"/>
      <c r="AR107" s="53" t="str">
        <f>IF(SUM(AR108:AR110)&lt;&gt;0,SUM(AR108:AR110),"")</f>
        <v/>
      </c>
      <c r="AT107" s="94" t="str">
        <f t="shared" ref="AT107:AT110" si="254">IF(AP107&lt;&gt;0,(AP107/AN107)-1,"")</f>
        <v/>
      </c>
      <c r="AV107" s="38">
        <f>IF(SUM(AV108:AV110)&lt;&gt;"",SUM(AV108:AV110),"")</f>
        <v>0</v>
      </c>
      <c r="AW107" s="14"/>
      <c r="AX107" s="38">
        <f>IF(SUM(AX108:AX110)&lt;&gt;"",SUM(AX108:AX110),"")</f>
        <v>0</v>
      </c>
      <c r="AY107" s="14"/>
      <c r="AZ107" s="53" t="str">
        <f>IF(SUM(AZ108:AZ110)&lt;&gt;0,SUM(AZ108:AZ110),"")</f>
        <v/>
      </c>
      <c r="BB107" s="94" t="str">
        <f t="shared" ref="BB107:BB110" si="255">IF(AX107&lt;&gt;0,(AX107/AV107)-1,"")</f>
        <v/>
      </c>
      <c r="BD107" s="38">
        <f>IF(SUM(BD108:BD110)&lt;&gt;"",SUM(BD108:BD110),"")</f>
        <v>0</v>
      </c>
      <c r="BE107" s="14"/>
      <c r="BF107" s="38">
        <f>IF(SUM(BF108:BF110)&lt;&gt;"",SUM(BF108:BF110),"")</f>
        <v>0</v>
      </c>
      <c r="BG107" s="14"/>
      <c r="BH107" s="53" t="str">
        <f>IF(SUM(BH108:BH110)&lt;&gt;0,SUM(BH108:BH110),"")</f>
        <v/>
      </c>
      <c r="BJ107" s="94" t="str">
        <f t="shared" ref="BJ107:BJ110" si="256">IF(BF107&lt;&gt;0,(BF107/BD107)-1,"")</f>
        <v/>
      </c>
      <c r="BL107" s="38">
        <f>IF(SUM(BL108:BL110)&lt;&gt;"",SUM(BL108:BL110),"")</f>
        <v>0</v>
      </c>
      <c r="BM107" s="14"/>
      <c r="BN107" s="38">
        <f>IF(SUM(BN108:BN110)&lt;&gt;"",SUM(BN108:BN110),"")</f>
        <v>0</v>
      </c>
      <c r="BO107" s="14"/>
      <c r="BP107" s="53" t="str">
        <f>IF(SUM(BP108:BP110)&lt;&gt;0,SUM(BP108:BP110),"")</f>
        <v/>
      </c>
      <c r="BR107" s="94" t="str">
        <f t="shared" ref="BR107:BR110" si="257">IF(BN107&lt;&gt;0,(BN107/BL107)-1,"")</f>
        <v/>
      </c>
      <c r="BT107" s="38">
        <f>IF(SUM(BT108:BT110)&lt;&gt;"",SUM(BT108:BT110),"")</f>
        <v>0</v>
      </c>
      <c r="BU107" s="14"/>
      <c r="BV107" s="38">
        <f>IF(SUM(BV108:BV110)&lt;&gt;"",SUM(BV108:BV110),"")</f>
        <v>0</v>
      </c>
      <c r="BW107" s="14"/>
      <c r="BX107" s="53" t="str">
        <f>IF(SUM(BX108:BX110)&lt;&gt;0,SUM(BX108:BX110),"")</f>
        <v/>
      </c>
      <c r="BZ107" s="94" t="str">
        <f t="shared" ref="BZ107:BZ110" si="258">IF(BV107&lt;&gt;0,(BV107/BT107)-1,"")</f>
        <v/>
      </c>
      <c r="CB107" s="38">
        <f>IF(SUM(CB108:CB110)&lt;&gt;"",SUM(CB108:CB110),"")</f>
        <v>0</v>
      </c>
      <c r="CC107" s="14"/>
      <c r="CD107" s="38">
        <f>IF(SUM(CD108:CD110)&lt;&gt;"",SUM(CD108:CD110),"")</f>
        <v>0</v>
      </c>
      <c r="CE107" s="14"/>
      <c r="CF107" s="53" t="str">
        <f>IF(SUM(CF108:CF110)&lt;&gt;0,SUM(CF108:CF110),"")</f>
        <v/>
      </c>
      <c r="CH107" s="94" t="str">
        <f t="shared" ref="CH107:CH110" si="259">IF(CD107&lt;&gt;0,(CD107/CB107)-1,"")</f>
        <v/>
      </c>
      <c r="CJ107" s="38">
        <f>IF(SUM(CJ108:CJ110)&lt;&gt;"",SUM(CJ108:CJ110),"")</f>
        <v>0</v>
      </c>
      <c r="CK107" s="14"/>
      <c r="CL107" s="38">
        <f>IF(SUM(CL108:CL110)&lt;&gt;"",SUM(CL108:CL110),"")</f>
        <v>0</v>
      </c>
      <c r="CM107" s="14"/>
      <c r="CN107" s="53" t="str">
        <f>IF(SUM(CN108:CN110)&lt;&gt;0,SUM(CN108:CN110),"")</f>
        <v/>
      </c>
      <c r="CP107" s="94" t="str">
        <f t="shared" ref="CP107:CP110" si="260">IF(CL107&lt;&gt;0,(CL107/CJ107)-1,"")</f>
        <v/>
      </c>
      <c r="CR107" s="38">
        <f>IF(SUM(CR108:CR110)&lt;&gt;"",SUM(CR108:CR110),"")</f>
        <v>0</v>
      </c>
      <c r="CS107" s="14"/>
      <c r="CT107" s="38">
        <f>IF(SUM(CT108:CT110)&lt;&gt;"",SUM(CT108:CT110),"")</f>
        <v>0</v>
      </c>
      <c r="CU107" s="14"/>
      <c r="CV107" s="53" t="str">
        <f>IF(SUM(CV108:CV110)&lt;&gt;0,SUM(CV108:CV110),"")</f>
        <v/>
      </c>
      <c r="CX107" s="94" t="str">
        <f t="shared" ref="CX107:CX110" si="261">IF(CT107&lt;&gt;0,(CT107/CR107)-1,"")</f>
        <v/>
      </c>
    </row>
    <row r="108" spans="1:102" ht="15.6" x14ac:dyDescent="0.3">
      <c r="B108" s="66"/>
      <c r="C108" s="67" t="s">
        <v>29</v>
      </c>
      <c r="D108" s="70" t="e">
        <f>IF(AVERAGE(J108,R108,Z108,AH108,AP108,AX108,BF108,BN108,BV108,CD108,CL108,CT108)&lt;&gt;"",AVERAGE(J108,R108,Z108,AH108,AP108,AX108,BF108,BN108,BV108,CD108,CL108,CT108),"")</f>
        <v>#DIV/0!</v>
      </c>
      <c r="E108" s="130">
        <f>IF(SUM(J108,R108,Z108,AH108,AP108,AX108,BF108,BN108,BV108,CD108,CL108,CT108)&lt;&gt;"",SUM(J108,R108,Z108,AH108,AP108,AX108,BF108,BN108,BV108,CD108,CL108,CT108),"")</f>
        <v>0</v>
      </c>
      <c r="F108" s="72" t="str">
        <f t="shared" ref="F108:F110" si="262">IF(E108&lt;&gt;0,E108/E$7,"")</f>
        <v/>
      </c>
      <c r="H108" s="63"/>
      <c r="J108" s="150"/>
      <c r="L108" s="28" t="str">
        <f>IF(J108&lt;&gt;"",J108/J$7,"")</f>
        <v/>
      </c>
      <c r="N108" s="90" t="str">
        <f t="shared" ref="N108:N110" si="263">IF(J108&lt;&gt;0,(J108/D108)-1,"")</f>
        <v/>
      </c>
      <c r="P108" s="63"/>
      <c r="Q108" s="14"/>
      <c r="R108" s="150"/>
      <c r="S108" s="14"/>
      <c r="T108" s="28" t="str">
        <f>IF(R108&lt;&gt;"",R108/R$7,"")</f>
        <v/>
      </c>
      <c r="V108" s="90" t="str">
        <f t="shared" si="251"/>
        <v/>
      </c>
      <c r="X108" s="63"/>
      <c r="Y108" s="14"/>
      <c r="Z108" s="150"/>
      <c r="AA108" s="14"/>
      <c r="AB108" s="28" t="str">
        <f>IF(Z108&lt;&gt;"",Z108/Z$7,"")</f>
        <v/>
      </c>
      <c r="AC108" s="14"/>
      <c r="AD108" s="90" t="str">
        <f t="shared" si="252"/>
        <v/>
      </c>
      <c r="AF108" s="63"/>
      <c r="AG108" s="14"/>
      <c r="AH108" s="150"/>
      <c r="AI108" s="14"/>
      <c r="AJ108" s="28" t="str">
        <f>IF(AH108&lt;&gt;"",AH108/AH$7,"")</f>
        <v/>
      </c>
      <c r="AL108" s="90" t="str">
        <f t="shared" si="253"/>
        <v/>
      </c>
      <c r="AN108" s="63"/>
      <c r="AO108" s="14"/>
      <c r="AP108" s="150"/>
      <c r="AQ108" s="14"/>
      <c r="AR108" s="28" t="str">
        <f>IF(AP108&lt;&gt;"",AP108/AP$7,"")</f>
        <v/>
      </c>
      <c r="AT108" s="90" t="str">
        <f t="shared" si="254"/>
        <v/>
      </c>
      <c r="AV108" s="63"/>
      <c r="AW108" s="14"/>
      <c r="AX108" s="150"/>
      <c r="AY108" s="14"/>
      <c r="AZ108" s="28" t="str">
        <f>IF(AX108&lt;&gt;"",AX108/AX$7,"")</f>
        <v/>
      </c>
      <c r="BB108" s="90" t="str">
        <f t="shared" si="255"/>
        <v/>
      </c>
      <c r="BD108" s="63"/>
      <c r="BE108" s="14"/>
      <c r="BF108" s="150"/>
      <c r="BG108" s="14"/>
      <c r="BH108" s="28" t="str">
        <f>IF(BF108&lt;&gt;"",BF108/BF$7,"")</f>
        <v/>
      </c>
      <c r="BJ108" s="90" t="str">
        <f t="shared" si="256"/>
        <v/>
      </c>
      <c r="BL108" s="63"/>
      <c r="BM108" s="14"/>
      <c r="BN108" s="150"/>
      <c r="BO108" s="14"/>
      <c r="BP108" s="28" t="str">
        <f>IF(BN108&lt;&gt;"",BN108/BN$7,"")</f>
        <v/>
      </c>
      <c r="BR108" s="90" t="str">
        <f t="shared" si="257"/>
        <v/>
      </c>
      <c r="BT108" s="63"/>
      <c r="BU108" s="14"/>
      <c r="BV108" s="150"/>
      <c r="BW108" s="14"/>
      <c r="BX108" s="28" t="str">
        <f>IF(BV108&lt;&gt;"",BV108/BV$7,"")</f>
        <v/>
      </c>
      <c r="BZ108" s="90" t="str">
        <f t="shared" si="258"/>
        <v/>
      </c>
      <c r="CB108" s="63"/>
      <c r="CC108" s="14"/>
      <c r="CD108" s="150"/>
      <c r="CE108" s="14"/>
      <c r="CF108" s="28" t="str">
        <f>IF(CD108&lt;&gt;"",CD108/CD$7,"")</f>
        <v/>
      </c>
      <c r="CH108" s="90" t="str">
        <f t="shared" si="259"/>
        <v/>
      </c>
      <c r="CJ108" s="63"/>
      <c r="CK108" s="14"/>
      <c r="CL108" s="150"/>
      <c r="CM108" s="14"/>
      <c r="CN108" s="28" t="str">
        <f>IF(CL108&lt;&gt;"",CL108/CL$7,"")</f>
        <v/>
      </c>
      <c r="CP108" s="90" t="str">
        <f t="shared" si="260"/>
        <v/>
      </c>
      <c r="CR108" s="63"/>
      <c r="CS108" s="14"/>
      <c r="CT108" s="150"/>
      <c r="CU108" s="14"/>
      <c r="CV108" s="28" t="str">
        <f>IF(CT108&lt;&gt;"",CT108/CT$7,"")</f>
        <v/>
      </c>
      <c r="CX108" s="90" t="str">
        <f t="shared" si="261"/>
        <v/>
      </c>
    </row>
    <row r="109" spans="1:102" ht="15.6" x14ac:dyDescent="0.3">
      <c r="B109" s="47"/>
      <c r="C109" s="21" t="s">
        <v>159</v>
      </c>
      <c r="D109" s="70" t="e">
        <f>IF(AVERAGE(J109,R109,Z109,AH109,AP109,AX109,BF109,BN109,BV109,CD109,CL109,CT109)&lt;&gt;"",AVERAGE(J109,R109,Z109,AH109,AP109,AX109,BF109,BN109,BV109,CD109,CL109,CT109),"")</f>
        <v>#DIV/0!</v>
      </c>
      <c r="E109" s="130">
        <f>IF(SUM(J109,R109,Z109,AH109,AP109,AX109,BF109,BN109,BV109,CD109,CL109,CT109)&lt;&gt;"",SUM(J109,R109,Z109,AH109,AP109,AX109,BF109,BN109,BV109,CD109,CL109,CT109),"")</f>
        <v>0</v>
      </c>
      <c r="F109" s="73" t="str">
        <f t="shared" si="262"/>
        <v/>
      </c>
      <c r="H109" s="35"/>
      <c r="J109" s="147"/>
      <c r="L109" s="28" t="str">
        <f>IF(J109&lt;&gt;"",J109/J$7,"")</f>
        <v/>
      </c>
      <c r="N109" s="90" t="str">
        <f t="shared" si="263"/>
        <v/>
      </c>
      <c r="P109" s="35"/>
      <c r="Q109" s="14"/>
      <c r="R109" s="147"/>
      <c r="S109" s="14"/>
      <c r="T109" s="28" t="str">
        <f>IF(R109&lt;&gt;"",R109/R$7,"")</f>
        <v/>
      </c>
      <c r="V109" s="90" t="str">
        <f t="shared" si="251"/>
        <v/>
      </c>
      <c r="X109" s="35"/>
      <c r="Y109" s="14"/>
      <c r="Z109" s="147"/>
      <c r="AA109" s="14"/>
      <c r="AB109" s="28" t="str">
        <f>IF(Z109&lt;&gt;"",Z109/Z$7,"")</f>
        <v/>
      </c>
      <c r="AC109" s="14"/>
      <c r="AD109" s="90" t="str">
        <f t="shared" si="252"/>
        <v/>
      </c>
      <c r="AF109" s="35"/>
      <c r="AG109" s="14"/>
      <c r="AH109" s="147"/>
      <c r="AI109" s="14"/>
      <c r="AJ109" s="28" t="str">
        <f>IF(AH109&lt;&gt;"",AH109/AH$7,"")</f>
        <v/>
      </c>
      <c r="AL109" s="90" t="str">
        <f t="shared" si="253"/>
        <v/>
      </c>
      <c r="AN109" s="35"/>
      <c r="AO109" s="14"/>
      <c r="AP109" s="147"/>
      <c r="AQ109" s="14"/>
      <c r="AR109" s="28" t="str">
        <f>IF(AP109&lt;&gt;"",AP109/AP$7,"")</f>
        <v/>
      </c>
      <c r="AT109" s="90" t="str">
        <f t="shared" si="254"/>
        <v/>
      </c>
      <c r="AV109" s="35"/>
      <c r="AW109" s="14"/>
      <c r="AX109" s="147"/>
      <c r="AY109" s="14"/>
      <c r="AZ109" s="28" t="str">
        <f>IF(AX109&lt;&gt;"",AX109/AX$7,"")</f>
        <v/>
      </c>
      <c r="BB109" s="90" t="str">
        <f t="shared" si="255"/>
        <v/>
      </c>
      <c r="BD109" s="35"/>
      <c r="BE109" s="14"/>
      <c r="BF109" s="147"/>
      <c r="BG109" s="14"/>
      <c r="BH109" s="28" t="str">
        <f>IF(BF109&lt;&gt;"",BF109/BF$7,"")</f>
        <v/>
      </c>
      <c r="BJ109" s="90" t="str">
        <f t="shared" si="256"/>
        <v/>
      </c>
      <c r="BL109" s="35"/>
      <c r="BM109" s="14"/>
      <c r="BN109" s="147"/>
      <c r="BO109" s="14"/>
      <c r="BP109" s="28" t="str">
        <f>IF(BN109&lt;&gt;"",BN109/BN$7,"")</f>
        <v/>
      </c>
      <c r="BR109" s="90" t="str">
        <f t="shared" si="257"/>
        <v/>
      </c>
      <c r="BT109" s="35"/>
      <c r="BU109" s="14"/>
      <c r="BV109" s="147"/>
      <c r="BW109" s="14"/>
      <c r="BX109" s="28" t="str">
        <f>IF(BV109&lt;&gt;"",BV109/BV$7,"")</f>
        <v/>
      </c>
      <c r="BZ109" s="90" t="str">
        <f t="shared" si="258"/>
        <v/>
      </c>
      <c r="CB109" s="35"/>
      <c r="CC109" s="14"/>
      <c r="CD109" s="147"/>
      <c r="CE109" s="14"/>
      <c r="CF109" s="28" t="str">
        <f>IF(CD109&lt;&gt;"",CD109/CD$7,"")</f>
        <v/>
      </c>
      <c r="CH109" s="90" t="str">
        <f t="shared" si="259"/>
        <v/>
      </c>
      <c r="CJ109" s="35"/>
      <c r="CK109" s="14"/>
      <c r="CL109" s="147"/>
      <c r="CM109" s="14"/>
      <c r="CN109" s="28" t="str">
        <f>IF(CL109&lt;&gt;"",CL109/CL$7,"")</f>
        <v/>
      </c>
      <c r="CP109" s="90" t="str">
        <f t="shared" si="260"/>
        <v/>
      </c>
      <c r="CR109" s="35"/>
      <c r="CS109" s="14"/>
      <c r="CT109" s="147"/>
      <c r="CU109" s="14"/>
      <c r="CV109" s="28" t="str">
        <f>IF(CT109&lt;&gt;"",CT109/CT$7,"")</f>
        <v/>
      </c>
      <c r="CX109" s="90" t="str">
        <f t="shared" si="261"/>
        <v/>
      </c>
    </row>
    <row r="110" spans="1:102" ht="16.2" thickBot="1" x14ac:dyDescent="0.35">
      <c r="B110" s="52"/>
      <c r="C110" s="68" t="s">
        <v>45</v>
      </c>
      <c r="D110" s="71" t="e">
        <f>IF(AVERAGE(J110,R110,Z110,AH110,AP110,AX110,BF110,BN110,BV110,CD110,CL110,CT110)&lt;&gt;"",AVERAGE(J110,R110,Z110,AH110,AP110,AX110,BF110,BN110,BV110,CD110,CL110,CT110),"")</f>
        <v>#DIV/0!</v>
      </c>
      <c r="E110" s="133">
        <f>IF(SUM(J110,R110,Z110,AH110,AP110,AX110,BF110,BN110,BV110,CD110,CL110,CT110)&lt;&gt;"",SUM(J110,R110,Z110,AH110,AP110,AX110,BF110,BN110,BV110,CD110,CL110,CT110),"")</f>
        <v>0</v>
      </c>
      <c r="F110" s="74" t="str">
        <f t="shared" si="262"/>
        <v/>
      </c>
      <c r="H110" s="64"/>
      <c r="J110" s="149"/>
      <c r="L110" s="28" t="str">
        <f>IF(J110&lt;&gt;"",J110/J$7,"")</f>
        <v/>
      </c>
      <c r="N110" s="90" t="str">
        <f t="shared" si="263"/>
        <v/>
      </c>
      <c r="P110" s="64"/>
      <c r="Q110" s="14"/>
      <c r="R110" s="149"/>
      <c r="S110" s="14"/>
      <c r="T110" s="28" t="str">
        <f>IF(R110&lt;&gt;"",R110/R$7,"")</f>
        <v/>
      </c>
      <c r="V110" s="90" t="str">
        <f t="shared" si="251"/>
        <v/>
      </c>
      <c r="X110" s="64"/>
      <c r="Y110" s="14"/>
      <c r="Z110" s="149"/>
      <c r="AA110" s="14"/>
      <c r="AB110" s="28" t="str">
        <f>IF(Z110&lt;&gt;"",Z110/Z$7,"")</f>
        <v/>
      </c>
      <c r="AC110" s="14"/>
      <c r="AD110" s="90" t="str">
        <f t="shared" si="252"/>
        <v/>
      </c>
      <c r="AF110" s="64"/>
      <c r="AG110" s="14"/>
      <c r="AH110" s="149"/>
      <c r="AI110" s="14"/>
      <c r="AJ110" s="28" t="str">
        <f>IF(AH110&lt;&gt;"",AH110/AH$7,"")</f>
        <v/>
      </c>
      <c r="AL110" s="90" t="str">
        <f t="shared" si="253"/>
        <v/>
      </c>
      <c r="AN110" s="64"/>
      <c r="AO110" s="14"/>
      <c r="AP110" s="149"/>
      <c r="AQ110" s="14"/>
      <c r="AR110" s="28" t="str">
        <f>IF(AP110&lt;&gt;"",AP110/AP$7,"")</f>
        <v/>
      </c>
      <c r="AT110" s="90" t="str">
        <f t="shared" si="254"/>
        <v/>
      </c>
      <c r="AV110" s="64"/>
      <c r="AW110" s="14"/>
      <c r="AX110" s="149"/>
      <c r="AY110" s="14"/>
      <c r="AZ110" s="28" t="str">
        <f>IF(AX110&lt;&gt;"",AX110/AX$7,"")</f>
        <v/>
      </c>
      <c r="BB110" s="90" t="str">
        <f t="shared" si="255"/>
        <v/>
      </c>
      <c r="BD110" s="64"/>
      <c r="BE110" s="14"/>
      <c r="BF110" s="149"/>
      <c r="BG110" s="14"/>
      <c r="BH110" s="28" t="str">
        <f>IF(BF110&lt;&gt;"",BF110/BF$7,"")</f>
        <v/>
      </c>
      <c r="BJ110" s="90" t="str">
        <f t="shared" si="256"/>
        <v/>
      </c>
      <c r="BL110" s="64"/>
      <c r="BM110" s="14"/>
      <c r="BN110" s="149"/>
      <c r="BO110" s="14"/>
      <c r="BP110" s="28" t="str">
        <f>IF(BN110&lt;&gt;"",BN110/BN$7,"")</f>
        <v/>
      </c>
      <c r="BR110" s="90" t="str">
        <f t="shared" si="257"/>
        <v/>
      </c>
      <c r="BT110" s="64"/>
      <c r="BU110" s="14"/>
      <c r="BV110" s="149"/>
      <c r="BW110" s="14"/>
      <c r="BX110" s="28" t="str">
        <f>IF(BV110&lt;&gt;"",BV110/BV$7,"")</f>
        <v/>
      </c>
      <c r="BZ110" s="90" t="str">
        <f t="shared" si="258"/>
        <v/>
      </c>
      <c r="CB110" s="64"/>
      <c r="CC110" s="14"/>
      <c r="CD110" s="149"/>
      <c r="CE110" s="14"/>
      <c r="CF110" s="28" t="str">
        <f>IF(CD110&lt;&gt;"",CD110/CD$7,"")</f>
        <v/>
      </c>
      <c r="CH110" s="90" t="str">
        <f t="shared" si="259"/>
        <v/>
      </c>
      <c r="CJ110" s="64"/>
      <c r="CK110" s="14"/>
      <c r="CL110" s="149"/>
      <c r="CM110" s="14"/>
      <c r="CN110" s="28" t="str">
        <f>IF(CL110&lt;&gt;"",CL110/CL$7,"")</f>
        <v/>
      </c>
      <c r="CP110" s="90" t="str">
        <f t="shared" si="260"/>
        <v/>
      </c>
      <c r="CR110" s="64"/>
      <c r="CS110" s="14"/>
      <c r="CT110" s="149"/>
      <c r="CU110" s="14"/>
      <c r="CV110" s="28" t="str">
        <f>IF(CT110&lt;&gt;"",CT110/CT$7,"")</f>
        <v/>
      </c>
      <c r="CX110" s="90" t="str">
        <f t="shared" si="261"/>
        <v/>
      </c>
    </row>
    <row r="111" spans="1:102" ht="9" customHeight="1" thickBot="1" x14ac:dyDescent="0.35">
      <c r="C111" s="39"/>
      <c r="F111" s="17"/>
      <c r="H111" s="36"/>
      <c r="J111" s="36"/>
      <c r="L111" s="31"/>
      <c r="N111" s="31"/>
      <c r="P111" s="36"/>
      <c r="Q111" s="14"/>
      <c r="R111" s="36"/>
      <c r="S111" s="14"/>
      <c r="T111" s="31"/>
      <c r="V111" s="31"/>
      <c r="X111" s="36"/>
      <c r="Y111" s="14"/>
      <c r="Z111" s="36"/>
      <c r="AA111" s="14"/>
      <c r="AB111" s="31"/>
      <c r="AC111" s="14"/>
      <c r="AD111" s="31"/>
      <c r="AF111" s="36"/>
      <c r="AG111" s="14"/>
      <c r="AH111" s="36"/>
      <c r="AI111" s="14"/>
      <c r="AJ111" s="31"/>
      <c r="AL111" s="31"/>
      <c r="AN111" s="36"/>
      <c r="AO111" s="14"/>
      <c r="AP111" s="36"/>
      <c r="AQ111" s="14"/>
      <c r="AR111" s="31"/>
      <c r="AT111" s="31"/>
      <c r="AV111" s="36"/>
      <c r="AW111" s="14"/>
      <c r="AX111" s="36"/>
      <c r="AY111" s="14"/>
      <c r="AZ111" s="31"/>
      <c r="BB111" s="31"/>
      <c r="BD111" s="36"/>
      <c r="BE111" s="14"/>
      <c r="BF111" s="36"/>
      <c r="BG111" s="14"/>
      <c r="BH111" s="31"/>
      <c r="BJ111" s="31"/>
      <c r="BL111" s="36"/>
      <c r="BM111" s="14"/>
      <c r="BN111" s="36"/>
      <c r="BO111" s="14"/>
      <c r="BP111" s="31"/>
      <c r="BR111" s="31"/>
      <c r="BT111" s="36"/>
      <c r="BU111" s="14"/>
      <c r="BV111" s="36"/>
      <c r="BW111" s="14"/>
      <c r="BX111" s="31"/>
      <c r="BZ111" s="31"/>
      <c r="CB111" s="36"/>
      <c r="CC111" s="14"/>
      <c r="CD111" s="36"/>
      <c r="CE111" s="14"/>
      <c r="CF111" s="31"/>
      <c r="CH111" s="31"/>
      <c r="CJ111" s="36"/>
      <c r="CK111" s="14"/>
      <c r="CL111" s="36"/>
      <c r="CM111" s="14"/>
      <c r="CN111" s="31"/>
      <c r="CP111" s="31"/>
      <c r="CR111" s="36"/>
      <c r="CS111" s="14"/>
      <c r="CT111" s="36"/>
      <c r="CU111" s="14"/>
      <c r="CV111" s="31"/>
      <c r="CX111" s="31"/>
    </row>
    <row r="112" spans="1:102" ht="16.2" thickBot="1" x14ac:dyDescent="0.35">
      <c r="B112" s="208" t="s">
        <v>135</v>
      </c>
      <c r="C112" s="209"/>
      <c r="D112" s="104" t="e">
        <f t="shared" ref="D112:F112" si="264">IF(SUM(D113:D118)&lt;&gt;0,SUM(D113:D118),"")</f>
        <v>#DIV/0!</v>
      </c>
      <c r="E112" s="137" t="str">
        <f t="shared" si="264"/>
        <v/>
      </c>
      <c r="F112" s="75" t="str">
        <f t="shared" si="264"/>
        <v/>
      </c>
      <c r="H112" s="29">
        <f>IF(SUM(H113:H118)&lt;&gt;"",SUM(H113:H118),"")</f>
        <v>0</v>
      </c>
      <c r="J112" s="29">
        <f>IF(SUM(J113:J118)&lt;&gt;"",SUM(J113:J118),"")</f>
        <v>0</v>
      </c>
      <c r="L112" s="53" t="str">
        <f>IF(SUM(L113:L118)&lt;&gt;0,SUM(L113:L118),"")</f>
        <v/>
      </c>
      <c r="N112" s="30" t="e">
        <f>IF(J112&lt;&gt;"",(J112/$D112)-1,"")</f>
        <v>#DIV/0!</v>
      </c>
      <c r="P112" s="29">
        <f>IF(SUM(P113:P118)&lt;&gt;"",SUM(P113:P118),"")</f>
        <v>0</v>
      </c>
      <c r="Q112" s="14"/>
      <c r="R112" s="29">
        <f>IF(SUM(R113:R118)&lt;&gt;"",SUM(R113:R118),"")</f>
        <v>0</v>
      </c>
      <c r="S112" s="14"/>
      <c r="T112" s="53" t="str">
        <f>IF(SUM(T113:T118)&lt;&gt;0,SUM(T113:T118),"")</f>
        <v/>
      </c>
      <c r="V112" s="94" t="str">
        <f t="shared" ref="V112:V118" si="265">IF(R112&lt;&gt;0,(R112/P112)-1,"")</f>
        <v/>
      </c>
      <c r="X112" s="29">
        <f>IF(SUM(X113:X118)&lt;&gt;"",SUM(X113:X118),"")</f>
        <v>0</v>
      </c>
      <c r="Y112" s="14"/>
      <c r="Z112" s="29">
        <f>IF(SUM(Z113:Z118)&lt;&gt;"",SUM(Z113:Z118),"")</f>
        <v>0</v>
      </c>
      <c r="AA112" s="14"/>
      <c r="AB112" s="53" t="str">
        <f>IF(SUM(AB113:AB118)&lt;&gt;0,SUM(AB113:AB118),"")</f>
        <v/>
      </c>
      <c r="AC112" s="14"/>
      <c r="AD112" s="94" t="str">
        <f t="shared" ref="AD112:AD118" si="266">IF(Z112&lt;&gt;0,(Z112/X112)-1,"")</f>
        <v/>
      </c>
      <c r="AF112" s="29">
        <f>IF(SUM(AF113:AF118)&lt;&gt;"",SUM(AF113:AF118),"")</f>
        <v>0</v>
      </c>
      <c r="AG112" s="14"/>
      <c r="AH112" s="29">
        <f>IF(SUM(AH113:AH118)&lt;&gt;"",SUM(AH113:AH118),"")</f>
        <v>0</v>
      </c>
      <c r="AI112" s="14"/>
      <c r="AJ112" s="53" t="str">
        <f>IF(SUM(AJ113:AJ118)&lt;&gt;0,SUM(AJ113:AJ118),"")</f>
        <v/>
      </c>
      <c r="AL112" s="94" t="str">
        <f t="shared" ref="AL112:AL118" si="267">IF(AH112&lt;&gt;0,(AH112/AF112)-1,"")</f>
        <v/>
      </c>
      <c r="AN112" s="29">
        <f>IF(SUM(AN113:AN118)&lt;&gt;"",SUM(AN113:AN118),"")</f>
        <v>0</v>
      </c>
      <c r="AO112" s="14"/>
      <c r="AP112" s="29">
        <f>IF(SUM(AP113:AP118)&lt;&gt;"",SUM(AP113:AP118),"")</f>
        <v>0</v>
      </c>
      <c r="AQ112" s="14"/>
      <c r="AR112" s="53" t="str">
        <f>IF(SUM(AR113:AR118)&lt;&gt;0,SUM(AR113:AR118),"")</f>
        <v/>
      </c>
      <c r="AT112" s="94" t="str">
        <f t="shared" ref="AT112:AT118" si="268">IF(AP112&lt;&gt;0,(AP112/AN112)-1,"")</f>
        <v/>
      </c>
      <c r="AV112" s="29">
        <f>IF(SUM(AV113:AV118)&lt;&gt;"",SUM(AV113:AV118),"")</f>
        <v>0</v>
      </c>
      <c r="AW112" s="14"/>
      <c r="AX112" s="29">
        <f>IF(SUM(AX113:AX118)&lt;&gt;"",SUM(AX113:AX118),"")</f>
        <v>0</v>
      </c>
      <c r="AY112" s="14"/>
      <c r="AZ112" s="53" t="str">
        <f>IF(SUM(AZ113:AZ118)&lt;&gt;0,SUM(AZ113:AZ118),"")</f>
        <v/>
      </c>
      <c r="BB112" s="94" t="str">
        <f t="shared" ref="BB112:BB118" si="269">IF(AX112&lt;&gt;0,(AX112/AV112)-1,"")</f>
        <v/>
      </c>
      <c r="BD112" s="29">
        <f>IF(SUM(BD113:BD118)&lt;&gt;"",SUM(BD113:BD118),"")</f>
        <v>0</v>
      </c>
      <c r="BE112" s="14"/>
      <c r="BF112" s="29">
        <f>IF(SUM(BF113:BF118)&lt;&gt;"",SUM(BF113:BF118),"")</f>
        <v>0</v>
      </c>
      <c r="BG112" s="14"/>
      <c r="BH112" s="53" t="str">
        <f>IF(SUM(BH113:BH118)&lt;&gt;0,SUM(BH113:BH118),"")</f>
        <v/>
      </c>
      <c r="BJ112" s="94" t="str">
        <f t="shared" ref="BJ112:BJ118" si="270">IF(BF112&lt;&gt;0,(BF112/BD112)-1,"")</f>
        <v/>
      </c>
      <c r="BL112" s="29">
        <f>IF(SUM(BL113:BL118)&lt;&gt;"",SUM(BL113:BL118),"")</f>
        <v>0</v>
      </c>
      <c r="BM112" s="14"/>
      <c r="BN112" s="29">
        <f>IF(SUM(BN113:BN118)&lt;&gt;"",SUM(BN113:BN118),"")</f>
        <v>0</v>
      </c>
      <c r="BO112" s="14"/>
      <c r="BP112" s="53" t="str">
        <f>IF(SUM(BP113:BP118)&lt;&gt;0,SUM(BP113:BP118),"")</f>
        <v/>
      </c>
      <c r="BR112" s="94" t="str">
        <f t="shared" ref="BR112:BR118" si="271">IF(BN112&lt;&gt;0,(BN112/BL112)-1,"")</f>
        <v/>
      </c>
      <c r="BT112" s="29">
        <f>IF(SUM(BT113:BT118)&lt;&gt;"",SUM(BT113:BT118),"")</f>
        <v>0</v>
      </c>
      <c r="BU112" s="14"/>
      <c r="BV112" s="29">
        <f>IF(SUM(BV113:BV118)&lt;&gt;"",SUM(BV113:BV118),"")</f>
        <v>0</v>
      </c>
      <c r="BW112" s="14"/>
      <c r="BX112" s="53" t="str">
        <f>IF(SUM(BX113:BX118)&lt;&gt;0,SUM(BX113:BX118),"")</f>
        <v/>
      </c>
      <c r="BZ112" s="94" t="str">
        <f t="shared" ref="BZ112:BZ118" si="272">IF(BV112&lt;&gt;0,(BV112/BT112)-1,"")</f>
        <v/>
      </c>
      <c r="CB112" s="29">
        <f>IF(SUM(CB113:CB118)&lt;&gt;"",SUM(CB113:CB118),"")</f>
        <v>0</v>
      </c>
      <c r="CC112" s="14"/>
      <c r="CD112" s="29">
        <f>IF(SUM(CD113:CD118)&lt;&gt;"",SUM(CD113:CD118),"")</f>
        <v>0</v>
      </c>
      <c r="CE112" s="14"/>
      <c r="CF112" s="53" t="str">
        <f>IF(SUM(CF113:CF118)&lt;&gt;0,SUM(CF113:CF118),"")</f>
        <v/>
      </c>
      <c r="CH112" s="94" t="str">
        <f t="shared" ref="CH112:CH118" si="273">IF(CD112&lt;&gt;0,(CD112/CB112)-1,"")</f>
        <v/>
      </c>
      <c r="CJ112" s="29">
        <f>IF(SUM(CJ113:CJ118)&lt;&gt;"",SUM(CJ113:CJ118),"")</f>
        <v>0</v>
      </c>
      <c r="CK112" s="14"/>
      <c r="CL112" s="29">
        <f>IF(SUM(CL113:CL118)&lt;&gt;"",SUM(CL113:CL118),"")</f>
        <v>0</v>
      </c>
      <c r="CM112" s="14"/>
      <c r="CN112" s="53" t="str">
        <f>IF(SUM(CN113:CN118)&lt;&gt;0,SUM(CN113:CN118),"")</f>
        <v/>
      </c>
      <c r="CP112" s="94" t="str">
        <f t="shared" ref="CP112:CP118" si="274">IF(CL112&lt;&gt;0,(CL112/CJ112)-1,"")</f>
        <v/>
      </c>
      <c r="CR112" s="29">
        <f>IF(SUM(CR113:CR118)&lt;&gt;"",SUM(CR113:CR118),"")</f>
        <v>0</v>
      </c>
      <c r="CS112" s="14"/>
      <c r="CT112" s="29">
        <f>IF(SUM(CT113:CT118)&lt;&gt;"",SUM(CT113:CT118),"")</f>
        <v>0</v>
      </c>
      <c r="CU112" s="14"/>
      <c r="CV112" s="53" t="str">
        <f>IF(SUM(CV113:CV118)&lt;&gt;0,SUM(CV113:CV118),"")</f>
        <v/>
      </c>
      <c r="CX112" s="94" t="str">
        <f t="shared" ref="CX112:CX118" si="275">IF(CT112&lt;&gt;0,(CT112/CR112)-1,"")</f>
        <v/>
      </c>
    </row>
    <row r="113" spans="1:102" ht="15.6" x14ac:dyDescent="0.3">
      <c r="B113" s="46"/>
      <c r="C113" s="21" t="s">
        <v>32</v>
      </c>
      <c r="D113" s="70" t="e">
        <f t="shared" ref="D113:D118" si="276">IF(AVERAGE(J113,R113,Z113,AH113,AP113,AX113,BF113,BN113,BV113,CD113,CL113,CT113)&lt;&gt;"",AVERAGE(J113,R113,Z113,AH113,AP113,AX113,BF113,BN113,BV113,CD113,CL113,CT113),"")</f>
        <v>#DIV/0!</v>
      </c>
      <c r="E113" s="130">
        <f t="shared" ref="E113:E118" si="277">IF(SUM(J113,R113,Z113,AH113,AP113,AX113,BF113,BN113,BV113,CD113,CL113,CT113)&lt;&gt;"",SUM(J113,R113,Z113,AH113,AP113,AX113,BF113,BN113,BV113,CD113,CL113,CT113),"")</f>
        <v>0</v>
      </c>
      <c r="F113" s="73" t="str">
        <f t="shared" ref="F113:F118" si="278">IF(E113&lt;&gt;0,E113/E$7,"")</f>
        <v/>
      </c>
      <c r="H113" s="26"/>
      <c r="J113" s="151"/>
      <c r="L113" s="28" t="str">
        <f>IF(J113&lt;&gt;"",J113/J$7,"")</f>
        <v/>
      </c>
      <c r="N113" s="90" t="str">
        <f t="shared" ref="N113:N118" si="279">IF(J113&lt;&gt;0,(J113/D113)-1,"")</f>
        <v/>
      </c>
      <c r="P113" s="26"/>
      <c r="Q113" s="14"/>
      <c r="R113" s="151"/>
      <c r="S113" s="14"/>
      <c r="T113" s="28" t="str">
        <f>IF(R113&lt;&gt;"",R113/R$7,"")</f>
        <v/>
      </c>
      <c r="V113" s="90" t="str">
        <f t="shared" si="265"/>
        <v/>
      </c>
      <c r="X113" s="26"/>
      <c r="Y113" s="14"/>
      <c r="Z113" s="151"/>
      <c r="AA113" s="14"/>
      <c r="AB113" s="28" t="str">
        <f>IF(Z113&lt;&gt;"",Z113/Z$7,"")</f>
        <v/>
      </c>
      <c r="AC113" s="14"/>
      <c r="AD113" s="90" t="str">
        <f t="shared" si="266"/>
        <v/>
      </c>
      <c r="AF113" s="26"/>
      <c r="AG113" s="14"/>
      <c r="AH113" s="151"/>
      <c r="AI113" s="14"/>
      <c r="AJ113" s="28" t="str">
        <f>IF(AH113&lt;&gt;"",AH113/AH$7,"")</f>
        <v/>
      </c>
      <c r="AL113" s="90" t="str">
        <f t="shared" si="267"/>
        <v/>
      </c>
      <c r="AN113" s="26"/>
      <c r="AO113" s="14"/>
      <c r="AP113" s="151"/>
      <c r="AQ113" s="14"/>
      <c r="AR113" s="28" t="str">
        <f>IF(AP113&lt;&gt;"",AP113/AP$7,"")</f>
        <v/>
      </c>
      <c r="AT113" s="90" t="str">
        <f t="shared" si="268"/>
        <v/>
      </c>
      <c r="AV113" s="26"/>
      <c r="AW113" s="14"/>
      <c r="AX113" s="151"/>
      <c r="AY113" s="14"/>
      <c r="AZ113" s="28" t="str">
        <f>IF(AX113&lt;&gt;"",AX113/AX$7,"")</f>
        <v/>
      </c>
      <c r="BB113" s="90" t="str">
        <f t="shared" si="269"/>
        <v/>
      </c>
      <c r="BD113" s="26"/>
      <c r="BE113" s="14"/>
      <c r="BF113" s="151"/>
      <c r="BG113" s="14"/>
      <c r="BH113" s="28" t="str">
        <f>IF(BF113&lt;&gt;"",BF113/BF$7,"")</f>
        <v/>
      </c>
      <c r="BJ113" s="90" t="str">
        <f t="shared" si="270"/>
        <v/>
      </c>
      <c r="BL113" s="26"/>
      <c r="BM113" s="14"/>
      <c r="BN113" s="151"/>
      <c r="BO113" s="14"/>
      <c r="BP113" s="28" t="str">
        <f>IF(BN113&lt;&gt;"",BN113/BN$7,"")</f>
        <v/>
      </c>
      <c r="BR113" s="90" t="str">
        <f t="shared" si="271"/>
        <v/>
      </c>
      <c r="BT113" s="26"/>
      <c r="BU113" s="14"/>
      <c r="BV113" s="151"/>
      <c r="BW113" s="14"/>
      <c r="BX113" s="28" t="str">
        <f>IF(BV113&lt;&gt;"",BV113/BV$7,"")</f>
        <v/>
      </c>
      <c r="BZ113" s="90" t="str">
        <f t="shared" si="272"/>
        <v/>
      </c>
      <c r="CB113" s="26"/>
      <c r="CC113" s="14"/>
      <c r="CD113" s="151"/>
      <c r="CE113" s="14"/>
      <c r="CF113" s="28" t="str">
        <f>IF(CD113&lt;&gt;"",CD113/CD$7,"")</f>
        <v/>
      </c>
      <c r="CH113" s="90" t="str">
        <f t="shared" si="273"/>
        <v/>
      </c>
      <c r="CJ113" s="26"/>
      <c r="CK113" s="14"/>
      <c r="CL113" s="151"/>
      <c r="CM113" s="14"/>
      <c r="CN113" s="28" t="str">
        <f>IF(CL113&lt;&gt;"",CL113/CL$7,"")</f>
        <v/>
      </c>
      <c r="CP113" s="90" t="str">
        <f t="shared" si="274"/>
        <v/>
      </c>
      <c r="CR113" s="26"/>
      <c r="CS113" s="14"/>
      <c r="CT113" s="151"/>
      <c r="CU113" s="14"/>
      <c r="CV113" s="28" t="str">
        <f>IF(CT113&lt;&gt;"",CT113/CT$7,"")</f>
        <v/>
      </c>
      <c r="CX113" s="90" t="str">
        <f t="shared" si="275"/>
        <v/>
      </c>
    </row>
    <row r="114" spans="1:102" ht="15.6" x14ac:dyDescent="0.3">
      <c r="B114" s="47"/>
      <c r="C114" s="21" t="s">
        <v>33</v>
      </c>
      <c r="D114" s="70" t="e">
        <f t="shared" si="276"/>
        <v>#DIV/0!</v>
      </c>
      <c r="E114" s="130">
        <f t="shared" si="277"/>
        <v>0</v>
      </c>
      <c r="F114" s="73" t="str">
        <f t="shared" si="278"/>
        <v/>
      </c>
      <c r="H114" s="27"/>
      <c r="J114" s="146"/>
      <c r="L114" s="28" t="str">
        <f>IF(J114&lt;&gt;"",J114/J$7,"")</f>
        <v/>
      </c>
      <c r="N114" s="90" t="str">
        <f t="shared" si="279"/>
        <v/>
      </c>
      <c r="P114" s="27"/>
      <c r="Q114" s="14"/>
      <c r="R114" s="146"/>
      <c r="S114" s="14"/>
      <c r="T114" s="28" t="str">
        <f>IF(R114&lt;&gt;"",R114/R$7,"")</f>
        <v/>
      </c>
      <c r="V114" s="90" t="str">
        <f t="shared" si="265"/>
        <v/>
      </c>
      <c r="X114" s="27"/>
      <c r="Y114" s="14"/>
      <c r="Z114" s="146"/>
      <c r="AA114" s="14"/>
      <c r="AB114" s="28" t="str">
        <f>IF(Z114&lt;&gt;"",Z114/Z$7,"")</f>
        <v/>
      </c>
      <c r="AC114" s="14"/>
      <c r="AD114" s="90" t="str">
        <f t="shared" si="266"/>
        <v/>
      </c>
      <c r="AF114" s="27"/>
      <c r="AG114" s="14"/>
      <c r="AH114" s="146"/>
      <c r="AI114" s="14"/>
      <c r="AJ114" s="28" t="str">
        <f>IF(AH114&lt;&gt;"",AH114/AH$7,"")</f>
        <v/>
      </c>
      <c r="AL114" s="90" t="str">
        <f t="shared" si="267"/>
        <v/>
      </c>
      <c r="AN114" s="27"/>
      <c r="AO114" s="14"/>
      <c r="AP114" s="146"/>
      <c r="AQ114" s="14"/>
      <c r="AR114" s="28" t="str">
        <f>IF(AP114&lt;&gt;"",AP114/AP$7,"")</f>
        <v/>
      </c>
      <c r="AT114" s="90" t="str">
        <f t="shared" si="268"/>
        <v/>
      </c>
      <c r="AV114" s="27"/>
      <c r="AW114" s="14"/>
      <c r="AX114" s="146"/>
      <c r="AY114" s="14"/>
      <c r="AZ114" s="28" t="str">
        <f>IF(AX114&lt;&gt;"",AX114/AX$7,"")</f>
        <v/>
      </c>
      <c r="BB114" s="90" t="str">
        <f t="shared" si="269"/>
        <v/>
      </c>
      <c r="BD114" s="27"/>
      <c r="BE114" s="14"/>
      <c r="BF114" s="146"/>
      <c r="BG114" s="14"/>
      <c r="BH114" s="28" t="str">
        <f>IF(BF114&lt;&gt;"",BF114/BF$7,"")</f>
        <v/>
      </c>
      <c r="BJ114" s="90" t="str">
        <f t="shared" si="270"/>
        <v/>
      </c>
      <c r="BL114" s="27"/>
      <c r="BM114" s="14"/>
      <c r="BN114" s="146"/>
      <c r="BO114" s="14"/>
      <c r="BP114" s="28" t="str">
        <f>IF(BN114&lt;&gt;"",BN114/BN$7,"")</f>
        <v/>
      </c>
      <c r="BR114" s="90" t="str">
        <f t="shared" si="271"/>
        <v/>
      </c>
      <c r="BT114" s="27"/>
      <c r="BU114" s="14"/>
      <c r="BV114" s="146"/>
      <c r="BW114" s="14"/>
      <c r="BX114" s="28" t="str">
        <f>IF(BV114&lt;&gt;"",BV114/BV$7,"")</f>
        <v/>
      </c>
      <c r="BZ114" s="90" t="str">
        <f t="shared" si="272"/>
        <v/>
      </c>
      <c r="CB114" s="27"/>
      <c r="CC114" s="14"/>
      <c r="CD114" s="146"/>
      <c r="CE114" s="14"/>
      <c r="CF114" s="28" t="str">
        <f>IF(CD114&lt;&gt;"",CD114/CD$7,"")</f>
        <v/>
      </c>
      <c r="CH114" s="90" t="str">
        <f t="shared" si="273"/>
        <v/>
      </c>
      <c r="CJ114" s="27"/>
      <c r="CK114" s="14"/>
      <c r="CL114" s="146"/>
      <c r="CM114" s="14"/>
      <c r="CN114" s="28" t="str">
        <f>IF(CL114&lt;&gt;"",CL114/CL$7,"")</f>
        <v/>
      </c>
      <c r="CP114" s="90" t="str">
        <f t="shared" si="274"/>
        <v/>
      </c>
      <c r="CR114" s="27"/>
      <c r="CS114" s="14"/>
      <c r="CT114" s="146"/>
      <c r="CU114" s="14"/>
      <c r="CV114" s="28" t="str">
        <f>IF(CT114&lt;&gt;"",CT114/CT$7,"")</f>
        <v/>
      </c>
      <c r="CX114" s="90" t="str">
        <f t="shared" si="275"/>
        <v/>
      </c>
    </row>
    <row r="115" spans="1:102" ht="15.6" x14ac:dyDescent="0.3">
      <c r="B115" s="47"/>
      <c r="C115" s="21" t="s">
        <v>34</v>
      </c>
      <c r="D115" s="70" t="e">
        <f t="shared" si="276"/>
        <v>#DIV/0!</v>
      </c>
      <c r="E115" s="130">
        <f t="shared" si="277"/>
        <v>0</v>
      </c>
      <c r="F115" s="73" t="str">
        <f t="shared" si="278"/>
        <v/>
      </c>
      <c r="H115" s="35"/>
      <c r="J115" s="147"/>
      <c r="L115" s="28" t="str">
        <f t="shared" ref="L115:L118" si="280">IF(J115&lt;&gt;"",J115/J$7,"")</f>
        <v/>
      </c>
      <c r="N115" s="90" t="str">
        <f t="shared" si="279"/>
        <v/>
      </c>
      <c r="P115" s="35"/>
      <c r="Q115" s="14"/>
      <c r="R115" s="147"/>
      <c r="S115" s="14"/>
      <c r="T115" s="28" t="str">
        <f t="shared" ref="T115:T118" si="281">IF(R115&lt;&gt;"",R115/R$7,"")</f>
        <v/>
      </c>
      <c r="V115" s="90" t="str">
        <f t="shared" si="265"/>
        <v/>
      </c>
      <c r="X115" s="35"/>
      <c r="Y115" s="14"/>
      <c r="Z115" s="147"/>
      <c r="AA115" s="14"/>
      <c r="AB115" s="28" t="str">
        <f t="shared" ref="AB115:AB118" si="282">IF(Z115&lt;&gt;"",Z115/Z$7,"")</f>
        <v/>
      </c>
      <c r="AC115" s="14"/>
      <c r="AD115" s="90" t="str">
        <f t="shared" si="266"/>
        <v/>
      </c>
      <c r="AF115" s="35"/>
      <c r="AG115" s="14"/>
      <c r="AH115" s="147"/>
      <c r="AI115" s="14"/>
      <c r="AJ115" s="28" t="str">
        <f t="shared" ref="AJ115:AJ118" si="283">IF(AH115&lt;&gt;"",AH115/AH$7,"")</f>
        <v/>
      </c>
      <c r="AL115" s="90" t="str">
        <f t="shared" si="267"/>
        <v/>
      </c>
      <c r="AN115" s="35"/>
      <c r="AO115" s="14"/>
      <c r="AP115" s="147"/>
      <c r="AQ115" s="14"/>
      <c r="AR115" s="28" t="str">
        <f t="shared" ref="AR115:AR118" si="284">IF(AP115&lt;&gt;"",AP115/AP$7,"")</f>
        <v/>
      </c>
      <c r="AT115" s="90" t="str">
        <f t="shared" si="268"/>
        <v/>
      </c>
      <c r="AV115" s="35"/>
      <c r="AW115" s="14"/>
      <c r="AX115" s="147"/>
      <c r="AY115" s="14"/>
      <c r="AZ115" s="28" t="str">
        <f t="shared" ref="AZ115:AZ118" si="285">IF(AX115&lt;&gt;"",AX115/AX$7,"")</f>
        <v/>
      </c>
      <c r="BB115" s="90" t="str">
        <f t="shared" si="269"/>
        <v/>
      </c>
      <c r="BD115" s="35"/>
      <c r="BE115" s="14"/>
      <c r="BF115" s="147"/>
      <c r="BG115" s="14"/>
      <c r="BH115" s="28" t="str">
        <f t="shared" ref="BH115:BH118" si="286">IF(BF115&lt;&gt;"",BF115/BF$7,"")</f>
        <v/>
      </c>
      <c r="BJ115" s="90" t="str">
        <f t="shared" si="270"/>
        <v/>
      </c>
      <c r="BL115" s="35"/>
      <c r="BM115" s="14"/>
      <c r="BN115" s="147"/>
      <c r="BO115" s="14"/>
      <c r="BP115" s="28" t="str">
        <f t="shared" ref="BP115:BP118" si="287">IF(BN115&lt;&gt;"",BN115/BN$7,"")</f>
        <v/>
      </c>
      <c r="BR115" s="90" t="str">
        <f t="shared" si="271"/>
        <v/>
      </c>
      <c r="BT115" s="35"/>
      <c r="BU115" s="14"/>
      <c r="BV115" s="147"/>
      <c r="BW115" s="14"/>
      <c r="BX115" s="28" t="str">
        <f t="shared" ref="BX115:BX118" si="288">IF(BV115&lt;&gt;"",BV115/BV$7,"")</f>
        <v/>
      </c>
      <c r="BZ115" s="90" t="str">
        <f t="shared" si="272"/>
        <v/>
      </c>
      <c r="CB115" s="35"/>
      <c r="CC115" s="14"/>
      <c r="CD115" s="147"/>
      <c r="CE115" s="14"/>
      <c r="CF115" s="28" t="str">
        <f t="shared" ref="CF115:CF118" si="289">IF(CD115&lt;&gt;"",CD115/CD$7,"")</f>
        <v/>
      </c>
      <c r="CH115" s="90" t="str">
        <f t="shared" si="273"/>
        <v/>
      </c>
      <c r="CJ115" s="35"/>
      <c r="CK115" s="14"/>
      <c r="CL115" s="147"/>
      <c r="CM115" s="14"/>
      <c r="CN115" s="28" t="str">
        <f t="shared" ref="CN115:CN118" si="290">IF(CL115&lt;&gt;"",CL115/CL$7,"")</f>
        <v/>
      </c>
      <c r="CP115" s="90" t="str">
        <f t="shared" si="274"/>
        <v/>
      </c>
      <c r="CR115" s="35"/>
      <c r="CS115" s="14"/>
      <c r="CT115" s="147"/>
      <c r="CU115" s="14"/>
      <c r="CV115" s="28" t="str">
        <f t="shared" ref="CV115:CV118" si="291">IF(CT115&lt;&gt;"",CT115/CT$7,"")</f>
        <v/>
      </c>
      <c r="CX115" s="90" t="str">
        <f t="shared" si="275"/>
        <v/>
      </c>
    </row>
    <row r="116" spans="1:102" ht="15.6" x14ac:dyDescent="0.3">
      <c r="B116" s="47"/>
      <c r="C116" s="21" t="s">
        <v>35</v>
      </c>
      <c r="D116" s="70" t="e">
        <f t="shared" si="276"/>
        <v>#DIV/0!</v>
      </c>
      <c r="E116" s="130">
        <f t="shared" si="277"/>
        <v>0</v>
      </c>
      <c r="F116" s="73" t="str">
        <f t="shared" si="278"/>
        <v/>
      </c>
      <c r="H116" s="27"/>
      <c r="J116" s="146"/>
      <c r="L116" s="28" t="str">
        <f t="shared" si="280"/>
        <v/>
      </c>
      <c r="N116" s="90" t="str">
        <f t="shared" si="279"/>
        <v/>
      </c>
      <c r="P116" s="27"/>
      <c r="Q116" s="14"/>
      <c r="R116" s="146"/>
      <c r="S116" s="14"/>
      <c r="T116" s="28" t="str">
        <f t="shared" si="281"/>
        <v/>
      </c>
      <c r="V116" s="90" t="str">
        <f t="shared" si="265"/>
        <v/>
      </c>
      <c r="X116" s="27"/>
      <c r="Y116" s="14"/>
      <c r="Z116" s="146"/>
      <c r="AA116" s="14"/>
      <c r="AB116" s="28" t="str">
        <f t="shared" si="282"/>
        <v/>
      </c>
      <c r="AC116" s="14"/>
      <c r="AD116" s="90" t="str">
        <f t="shared" si="266"/>
        <v/>
      </c>
      <c r="AF116" s="27"/>
      <c r="AG116" s="14"/>
      <c r="AH116" s="146"/>
      <c r="AI116" s="14"/>
      <c r="AJ116" s="28" t="str">
        <f t="shared" si="283"/>
        <v/>
      </c>
      <c r="AL116" s="90" t="str">
        <f t="shared" si="267"/>
        <v/>
      </c>
      <c r="AN116" s="27"/>
      <c r="AO116" s="14"/>
      <c r="AP116" s="146"/>
      <c r="AQ116" s="14"/>
      <c r="AR116" s="28" t="str">
        <f t="shared" si="284"/>
        <v/>
      </c>
      <c r="AT116" s="90" t="str">
        <f t="shared" si="268"/>
        <v/>
      </c>
      <c r="AV116" s="27"/>
      <c r="AW116" s="14"/>
      <c r="AX116" s="146"/>
      <c r="AY116" s="14"/>
      <c r="AZ116" s="28" t="str">
        <f t="shared" si="285"/>
        <v/>
      </c>
      <c r="BB116" s="90" t="str">
        <f t="shared" si="269"/>
        <v/>
      </c>
      <c r="BD116" s="27"/>
      <c r="BE116" s="14"/>
      <c r="BF116" s="146"/>
      <c r="BG116" s="14"/>
      <c r="BH116" s="28" t="str">
        <f t="shared" si="286"/>
        <v/>
      </c>
      <c r="BJ116" s="90" t="str">
        <f t="shared" si="270"/>
        <v/>
      </c>
      <c r="BL116" s="27"/>
      <c r="BM116" s="14"/>
      <c r="BN116" s="146"/>
      <c r="BO116" s="14"/>
      <c r="BP116" s="28" t="str">
        <f t="shared" si="287"/>
        <v/>
      </c>
      <c r="BR116" s="90" t="str">
        <f t="shared" si="271"/>
        <v/>
      </c>
      <c r="BT116" s="27"/>
      <c r="BU116" s="14"/>
      <c r="BV116" s="146"/>
      <c r="BW116" s="14"/>
      <c r="BX116" s="28" t="str">
        <f t="shared" si="288"/>
        <v/>
      </c>
      <c r="BZ116" s="90" t="str">
        <f t="shared" si="272"/>
        <v/>
      </c>
      <c r="CB116" s="27"/>
      <c r="CC116" s="14"/>
      <c r="CD116" s="146"/>
      <c r="CE116" s="14"/>
      <c r="CF116" s="28" t="str">
        <f t="shared" si="289"/>
        <v/>
      </c>
      <c r="CH116" s="90" t="str">
        <f t="shared" si="273"/>
        <v/>
      </c>
      <c r="CJ116" s="27"/>
      <c r="CK116" s="14"/>
      <c r="CL116" s="146"/>
      <c r="CM116" s="14"/>
      <c r="CN116" s="28" t="str">
        <f t="shared" si="290"/>
        <v/>
      </c>
      <c r="CP116" s="90" t="str">
        <f t="shared" si="274"/>
        <v/>
      </c>
      <c r="CR116" s="27"/>
      <c r="CS116" s="14"/>
      <c r="CT116" s="146"/>
      <c r="CU116" s="14"/>
      <c r="CV116" s="28" t="str">
        <f t="shared" si="291"/>
        <v/>
      </c>
      <c r="CX116" s="90" t="str">
        <f t="shared" si="275"/>
        <v/>
      </c>
    </row>
    <row r="117" spans="1:102" ht="15.6" x14ac:dyDescent="0.3">
      <c r="B117" s="49"/>
      <c r="C117" s="22" t="s">
        <v>36</v>
      </c>
      <c r="D117" s="109" t="e">
        <f t="shared" si="276"/>
        <v>#DIV/0!</v>
      </c>
      <c r="E117" s="130">
        <f t="shared" si="277"/>
        <v>0</v>
      </c>
      <c r="F117" s="73" t="str">
        <f t="shared" si="278"/>
        <v/>
      </c>
      <c r="H117" s="27"/>
      <c r="J117" s="146"/>
      <c r="L117" s="28" t="str">
        <f t="shared" si="280"/>
        <v/>
      </c>
      <c r="N117" s="90" t="str">
        <f t="shared" si="279"/>
        <v/>
      </c>
      <c r="P117" s="27"/>
      <c r="Q117" s="14"/>
      <c r="R117" s="146"/>
      <c r="S117" s="14"/>
      <c r="T117" s="28" t="str">
        <f t="shared" si="281"/>
        <v/>
      </c>
      <c r="V117" s="90" t="str">
        <f t="shared" si="265"/>
        <v/>
      </c>
      <c r="X117" s="27"/>
      <c r="Y117" s="14"/>
      <c r="Z117" s="146"/>
      <c r="AA117" s="14"/>
      <c r="AB117" s="28" t="str">
        <f t="shared" si="282"/>
        <v/>
      </c>
      <c r="AC117" s="14"/>
      <c r="AD117" s="90" t="str">
        <f t="shared" si="266"/>
        <v/>
      </c>
      <c r="AF117" s="27"/>
      <c r="AG117" s="14"/>
      <c r="AH117" s="146"/>
      <c r="AI117" s="14"/>
      <c r="AJ117" s="28" t="str">
        <f t="shared" si="283"/>
        <v/>
      </c>
      <c r="AL117" s="90" t="str">
        <f t="shared" si="267"/>
        <v/>
      </c>
      <c r="AN117" s="27"/>
      <c r="AO117" s="14"/>
      <c r="AP117" s="146"/>
      <c r="AQ117" s="14"/>
      <c r="AR117" s="28" t="str">
        <f t="shared" si="284"/>
        <v/>
      </c>
      <c r="AT117" s="90" t="str">
        <f t="shared" si="268"/>
        <v/>
      </c>
      <c r="AV117" s="27"/>
      <c r="AW117" s="14"/>
      <c r="AX117" s="146"/>
      <c r="AY117" s="14"/>
      <c r="AZ117" s="28" t="str">
        <f t="shared" si="285"/>
        <v/>
      </c>
      <c r="BB117" s="90" t="str">
        <f t="shared" si="269"/>
        <v/>
      </c>
      <c r="BD117" s="27"/>
      <c r="BE117" s="14"/>
      <c r="BF117" s="146"/>
      <c r="BG117" s="14"/>
      <c r="BH117" s="28" t="str">
        <f t="shared" si="286"/>
        <v/>
      </c>
      <c r="BJ117" s="90" t="str">
        <f t="shared" si="270"/>
        <v/>
      </c>
      <c r="BL117" s="27"/>
      <c r="BM117" s="14"/>
      <c r="BN117" s="146"/>
      <c r="BO117" s="14"/>
      <c r="BP117" s="28" t="str">
        <f t="shared" si="287"/>
        <v/>
      </c>
      <c r="BR117" s="90" t="str">
        <f t="shared" si="271"/>
        <v/>
      </c>
      <c r="BT117" s="27"/>
      <c r="BU117" s="14"/>
      <c r="BV117" s="146"/>
      <c r="BW117" s="14"/>
      <c r="BX117" s="28" t="str">
        <f t="shared" si="288"/>
        <v/>
      </c>
      <c r="BZ117" s="90" t="str">
        <f t="shared" si="272"/>
        <v/>
      </c>
      <c r="CB117" s="27"/>
      <c r="CC117" s="14"/>
      <c r="CD117" s="146"/>
      <c r="CE117" s="14"/>
      <c r="CF117" s="28" t="str">
        <f t="shared" si="289"/>
        <v/>
      </c>
      <c r="CH117" s="90" t="str">
        <f t="shared" si="273"/>
        <v/>
      </c>
      <c r="CJ117" s="27"/>
      <c r="CK117" s="14"/>
      <c r="CL117" s="146"/>
      <c r="CM117" s="14"/>
      <c r="CN117" s="28" t="str">
        <f t="shared" si="290"/>
        <v/>
      </c>
      <c r="CP117" s="90" t="str">
        <f t="shared" si="274"/>
        <v/>
      </c>
      <c r="CR117" s="27"/>
      <c r="CS117" s="14"/>
      <c r="CT117" s="146"/>
      <c r="CU117" s="14"/>
      <c r="CV117" s="28" t="str">
        <f t="shared" si="291"/>
        <v/>
      </c>
      <c r="CX117" s="90" t="str">
        <f t="shared" si="275"/>
        <v/>
      </c>
    </row>
    <row r="118" spans="1:102" ht="16.2" thickBot="1" x14ac:dyDescent="0.35">
      <c r="B118" s="48"/>
      <c r="C118" s="62" t="s">
        <v>149</v>
      </c>
      <c r="D118" s="71" t="e">
        <f t="shared" si="276"/>
        <v>#DIV/0!</v>
      </c>
      <c r="E118" s="133">
        <f t="shared" si="277"/>
        <v>0</v>
      </c>
      <c r="F118" s="73" t="str">
        <f t="shared" si="278"/>
        <v/>
      </c>
      <c r="H118" s="27"/>
      <c r="J118" s="146"/>
      <c r="L118" s="65" t="str">
        <f t="shared" si="280"/>
        <v/>
      </c>
      <c r="N118" s="90" t="str">
        <f t="shared" si="279"/>
        <v/>
      </c>
      <c r="P118" s="27"/>
      <c r="Q118" s="14"/>
      <c r="R118" s="146"/>
      <c r="S118" s="14"/>
      <c r="T118" s="65" t="str">
        <f t="shared" si="281"/>
        <v/>
      </c>
      <c r="V118" s="90" t="str">
        <f t="shared" si="265"/>
        <v/>
      </c>
      <c r="X118" s="27"/>
      <c r="Y118" s="14"/>
      <c r="Z118" s="146"/>
      <c r="AA118" s="14"/>
      <c r="AB118" s="65" t="str">
        <f t="shared" si="282"/>
        <v/>
      </c>
      <c r="AC118" s="14"/>
      <c r="AD118" s="90" t="str">
        <f t="shared" si="266"/>
        <v/>
      </c>
      <c r="AF118" s="27"/>
      <c r="AG118" s="14"/>
      <c r="AH118" s="146"/>
      <c r="AI118" s="14"/>
      <c r="AJ118" s="65" t="str">
        <f t="shared" si="283"/>
        <v/>
      </c>
      <c r="AL118" s="90" t="str">
        <f t="shared" si="267"/>
        <v/>
      </c>
      <c r="AN118" s="27"/>
      <c r="AO118" s="14"/>
      <c r="AP118" s="146"/>
      <c r="AQ118" s="14"/>
      <c r="AR118" s="65" t="str">
        <f t="shared" si="284"/>
        <v/>
      </c>
      <c r="AT118" s="90" t="str">
        <f t="shared" si="268"/>
        <v/>
      </c>
      <c r="AV118" s="27"/>
      <c r="AW118" s="14"/>
      <c r="AX118" s="146"/>
      <c r="AY118" s="14"/>
      <c r="AZ118" s="65" t="str">
        <f t="shared" si="285"/>
        <v/>
      </c>
      <c r="BB118" s="90" t="str">
        <f t="shared" si="269"/>
        <v/>
      </c>
      <c r="BD118" s="27"/>
      <c r="BE118" s="14"/>
      <c r="BF118" s="146"/>
      <c r="BG118" s="14"/>
      <c r="BH118" s="65" t="str">
        <f t="shared" si="286"/>
        <v/>
      </c>
      <c r="BJ118" s="90" t="str">
        <f t="shared" si="270"/>
        <v/>
      </c>
      <c r="BL118" s="27"/>
      <c r="BM118" s="14"/>
      <c r="BN118" s="146"/>
      <c r="BO118" s="14"/>
      <c r="BP118" s="65" t="str">
        <f t="shared" si="287"/>
        <v/>
      </c>
      <c r="BR118" s="90" t="str">
        <f t="shared" si="271"/>
        <v/>
      </c>
      <c r="BT118" s="27"/>
      <c r="BU118" s="14"/>
      <c r="BV118" s="146"/>
      <c r="BW118" s="14"/>
      <c r="BX118" s="65" t="str">
        <f t="shared" si="288"/>
        <v/>
      </c>
      <c r="BZ118" s="90" t="str">
        <f t="shared" si="272"/>
        <v/>
      </c>
      <c r="CB118" s="27"/>
      <c r="CC118" s="14"/>
      <c r="CD118" s="146"/>
      <c r="CE118" s="14"/>
      <c r="CF118" s="65" t="str">
        <f t="shared" si="289"/>
        <v/>
      </c>
      <c r="CH118" s="90" t="str">
        <f t="shared" si="273"/>
        <v/>
      </c>
      <c r="CJ118" s="27"/>
      <c r="CK118" s="14"/>
      <c r="CL118" s="146"/>
      <c r="CM118" s="14"/>
      <c r="CN118" s="65" t="str">
        <f t="shared" si="290"/>
        <v/>
      </c>
      <c r="CP118" s="90" t="str">
        <f t="shared" si="274"/>
        <v/>
      </c>
      <c r="CR118" s="27"/>
      <c r="CS118" s="14"/>
      <c r="CT118" s="146"/>
      <c r="CU118" s="14"/>
      <c r="CV118" s="65" t="str">
        <f t="shared" si="291"/>
        <v/>
      </c>
      <c r="CX118" s="90" t="str">
        <f t="shared" si="275"/>
        <v/>
      </c>
    </row>
    <row r="119" spans="1:102" ht="9" customHeight="1" thickBot="1" x14ac:dyDescent="0.35">
      <c r="C119" s="39"/>
      <c r="F119" s="17"/>
      <c r="H119" s="36"/>
      <c r="J119" s="36"/>
      <c r="L119" s="31"/>
      <c r="N119" s="31"/>
      <c r="P119" s="36"/>
      <c r="Q119" s="14"/>
      <c r="R119" s="36"/>
      <c r="S119" s="14"/>
      <c r="T119" s="31"/>
      <c r="V119" s="31"/>
      <c r="X119" s="36"/>
      <c r="Y119" s="14"/>
      <c r="Z119" s="36"/>
      <c r="AA119" s="14"/>
      <c r="AB119" s="31"/>
      <c r="AC119" s="14"/>
      <c r="AD119" s="31"/>
      <c r="AF119" s="36"/>
      <c r="AG119" s="14"/>
      <c r="AH119" s="36"/>
      <c r="AI119" s="14"/>
      <c r="AJ119" s="31"/>
      <c r="AL119" s="31"/>
      <c r="AN119" s="36"/>
      <c r="AO119" s="14"/>
      <c r="AP119" s="36"/>
      <c r="AQ119" s="14"/>
      <c r="AR119" s="31"/>
      <c r="AT119" s="31"/>
      <c r="AV119" s="36"/>
      <c r="AW119" s="14"/>
      <c r="AX119" s="36"/>
      <c r="AY119" s="14"/>
      <c r="AZ119" s="31"/>
      <c r="BB119" s="31"/>
      <c r="BD119" s="36"/>
      <c r="BE119" s="14"/>
      <c r="BF119" s="36"/>
      <c r="BG119" s="14"/>
      <c r="BH119" s="31"/>
      <c r="BJ119" s="31"/>
      <c r="BL119" s="36"/>
      <c r="BM119" s="14"/>
      <c r="BN119" s="36"/>
      <c r="BO119" s="14"/>
      <c r="BP119" s="31"/>
      <c r="BR119" s="31"/>
      <c r="BT119" s="36"/>
      <c r="BU119" s="14"/>
      <c r="BV119" s="36"/>
      <c r="BW119" s="14"/>
      <c r="BX119" s="31"/>
      <c r="BZ119" s="31"/>
      <c r="CB119" s="36"/>
      <c r="CC119" s="14"/>
      <c r="CD119" s="36"/>
      <c r="CE119" s="14"/>
      <c r="CF119" s="31"/>
      <c r="CH119" s="31"/>
      <c r="CJ119" s="36"/>
      <c r="CK119" s="14"/>
      <c r="CL119" s="36"/>
      <c r="CM119" s="14"/>
      <c r="CN119" s="31"/>
      <c r="CP119" s="31"/>
      <c r="CR119" s="36"/>
      <c r="CS119" s="14"/>
      <c r="CT119" s="36"/>
      <c r="CU119" s="14"/>
      <c r="CV119" s="31"/>
      <c r="CX119" s="31"/>
    </row>
    <row r="120" spans="1:102" ht="16.2" thickBot="1" x14ac:dyDescent="0.35">
      <c r="B120" s="105" t="s">
        <v>41</v>
      </c>
      <c r="C120" s="106"/>
      <c r="D120" s="106"/>
      <c r="E120" s="138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  <c r="BY120" s="106"/>
      <c r="BZ120" s="106"/>
      <c r="CA120" s="106"/>
      <c r="CB120" s="106"/>
      <c r="CC120" s="106"/>
      <c r="CD120" s="106"/>
      <c r="CE120" s="106"/>
      <c r="CF120" s="106"/>
      <c r="CG120" s="106"/>
      <c r="CH120" s="106"/>
      <c r="CI120" s="106"/>
      <c r="CJ120" s="106"/>
      <c r="CK120" s="106"/>
      <c r="CL120" s="106"/>
      <c r="CM120" s="106"/>
      <c r="CN120" s="106"/>
      <c r="CO120" s="106"/>
      <c r="CP120" s="106"/>
      <c r="CQ120" s="106"/>
      <c r="CR120" s="106"/>
      <c r="CS120" s="106"/>
      <c r="CT120" s="106"/>
      <c r="CU120" s="106"/>
      <c r="CV120" s="106"/>
      <c r="CW120" s="106"/>
      <c r="CX120" s="106"/>
    </row>
    <row r="121" spans="1:102" ht="9.75" customHeight="1" thickBot="1" x14ac:dyDescent="0.35">
      <c r="C121" s="39"/>
      <c r="F121" s="16"/>
      <c r="H121" s="36"/>
      <c r="J121" s="36"/>
      <c r="L121" s="31"/>
      <c r="N121" s="31"/>
      <c r="P121" s="36"/>
      <c r="Q121" s="14"/>
      <c r="R121" s="36"/>
      <c r="S121" s="14"/>
      <c r="T121" s="31"/>
      <c r="V121" s="31"/>
      <c r="X121" s="36"/>
      <c r="Y121" s="14"/>
      <c r="Z121" s="36"/>
      <c r="AA121" s="14"/>
      <c r="AB121" s="31"/>
      <c r="AC121" s="14"/>
      <c r="AD121" s="31"/>
      <c r="AF121" s="36"/>
      <c r="AG121" s="14"/>
      <c r="AH121" s="36"/>
      <c r="AI121" s="14"/>
      <c r="AJ121" s="31"/>
      <c r="AL121" s="31"/>
      <c r="AN121" s="36"/>
      <c r="AO121" s="14"/>
      <c r="AP121" s="36"/>
      <c r="AQ121" s="14"/>
      <c r="AR121" s="31"/>
      <c r="AT121" s="31"/>
      <c r="AV121" s="36"/>
      <c r="AW121" s="14"/>
      <c r="AX121" s="36"/>
      <c r="AY121" s="14"/>
      <c r="AZ121" s="31"/>
      <c r="BB121" s="31"/>
      <c r="BD121" s="36"/>
      <c r="BE121" s="14"/>
      <c r="BF121" s="36"/>
      <c r="BG121" s="14"/>
      <c r="BH121" s="31"/>
      <c r="BJ121" s="31"/>
      <c r="BL121" s="36"/>
      <c r="BM121" s="14"/>
      <c r="BN121" s="36"/>
      <c r="BO121" s="14"/>
      <c r="BP121" s="31"/>
      <c r="BR121" s="31"/>
      <c r="BT121" s="36"/>
      <c r="BU121" s="14"/>
      <c r="BV121" s="36"/>
      <c r="BW121" s="14"/>
      <c r="BX121" s="31"/>
      <c r="BZ121" s="31"/>
      <c r="CB121" s="36"/>
      <c r="CC121" s="14"/>
      <c r="CD121" s="36"/>
      <c r="CE121" s="14"/>
      <c r="CF121" s="31"/>
      <c r="CH121" s="31"/>
      <c r="CJ121" s="36"/>
      <c r="CK121" s="14"/>
      <c r="CL121" s="36"/>
      <c r="CM121" s="14"/>
      <c r="CN121" s="31"/>
      <c r="CP121" s="31"/>
      <c r="CR121" s="36"/>
      <c r="CS121" s="14"/>
      <c r="CT121" s="36"/>
      <c r="CU121" s="14"/>
      <c r="CV121" s="31"/>
      <c r="CX121" s="31"/>
    </row>
    <row r="122" spans="1:102" ht="16.2" thickBot="1" x14ac:dyDescent="0.35">
      <c r="B122" s="213" t="s">
        <v>46</v>
      </c>
      <c r="C122" s="214"/>
      <c r="D122" s="104" t="e">
        <f t="shared" ref="D122:F122" si="292">IF(SUM(D123:D124)&lt;&gt;"",SUM(D123:D124),"")</f>
        <v>#DIV/0!</v>
      </c>
      <c r="E122" s="137">
        <f t="shared" si="292"/>
        <v>0</v>
      </c>
      <c r="F122" s="75">
        <f t="shared" si="292"/>
        <v>0</v>
      </c>
      <c r="H122" s="38">
        <f>IF(SUM(H123:H124)&lt;&gt;"",SUM(H123:H124),"")</f>
        <v>0</v>
      </c>
      <c r="J122" s="38">
        <f>IF(SUM(J123:J124)&lt;&gt;"",SUM(J123:J124),"")</f>
        <v>0</v>
      </c>
      <c r="L122" s="53" t="e">
        <f>IF(J122&lt;&gt;"",J122/J$7,"")</f>
        <v>#VALUE!</v>
      </c>
      <c r="N122" s="30" t="e">
        <f>IF(J122&lt;&gt;"",(J122/$D122)-1,"")</f>
        <v>#DIV/0!</v>
      </c>
      <c r="P122" s="38">
        <f>IF(SUM(P123:P124)&lt;&gt;"",SUM(P123:P124),"")</f>
        <v>0</v>
      </c>
      <c r="Q122" s="14"/>
      <c r="R122" s="38">
        <f>IF(SUM(R123:R124)&lt;&gt;"",SUM(R123:R124),"")</f>
        <v>0</v>
      </c>
      <c r="S122" s="14"/>
      <c r="T122" s="53" t="e">
        <f>IF(R122&lt;&gt;"",R122/R$7,"")</f>
        <v>#VALUE!</v>
      </c>
      <c r="V122" s="94" t="str">
        <f t="shared" ref="V122:V124" si="293">IF(R122&lt;&gt;0,(R122/P122)-1,"")</f>
        <v/>
      </c>
      <c r="X122" s="38">
        <f>IF(SUM(X123:X124)&lt;&gt;"",SUM(X123:X124),"")</f>
        <v>0</v>
      </c>
      <c r="Y122" s="14"/>
      <c r="Z122" s="38">
        <f>IF(SUM(Z123:Z124)&lt;&gt;"",SUM(Z123:Z124),"")</f>
        <v>0</v>
      </c>
      <c r="AA122" s="14"/>
      <c r="AB122" s="53" t="e">
        <f>IF(Z122&lt;&gt;"",Z122/Z$7,"")</f>
        <v>#VALUE!</v>
      </c>
      <c r="AC122" s="14"/>
      <c r="AD122" s="94" t="str">
        <f t="shared" ref="AD122:AD124" si="294">IF(Z122&lt;&gt;0,(Z122/X122)-1,"")</f>
        <v/>
      </c>
      <c r="AF122" s="38">
        <f>IF(SUM(AF123:AF124)&lt;&gt;"",SUM(AF123:AF124),"")</f>
        <v>0</v>
      </c>
      <c r="AG122" s="14"/>
      <c r="AH122" s="38">
        <f>IF(SUM(AH123:AH124)&lt;&gt;"",SUM(AH123:AH124),"")</f>
        <v>0</v>
      </c>
      <c r="AI122" s="14"/>
      <c r="AJ122" s="53" t="e">
        <f>IF(AH122&lt;&gt;"",AH122/AH$7,"")</f>
        <v>#VALUE!</v>
      </c>
      <c r="AL122" s="94" t="str">
        <f t="shared" ref="AL122:AL124" si="295">IF(AH122&lt;&gt;0,(AH122/AF122)-1,"")</f>
        <v/>
      </c>
      <c r="AN122" s="38">
        <f>IF(SUM(AN123:AN124)&lt;&gt;"",SUM(AN123:AN124),"")</f>
        <v>0</v>
      </c>
      <c r="AO122" s="14"/>
      <c r="AP122" s="38">
        <f>IF(SUM(AP123:AP124)&lt;&gt;"",SUM(AP123:AP124),"")</f>
        <v>0</v>
      </c>
      <c r="AQ122" s="14"/>
      <c r="AR122" s="53" t="e">
        <f>IF(AP122&lt;&gt;"",AP122/AP$7,"")</f>
        <v>#VALUE!</v>
      </c>
      <c r="AT122" s="94" t="str">
        <f t="shared" ref="AT122:AT124" si="296">IF(AP122&lt;&gt;0,(AP122/AN122)-1,"")</f>
        <v/>
      </c>
      <c r="AV122" s="38">
        <f>IF(SUM(AV123:AV124)&lt;&gt;"",SUM(AV123:AV124),"")</f>
        <v>0</v>
      </c>
      <c r="AW122" s="14"/>
      <c r="AX122" s="38">
        <f>IF(SUM(AX123:AX124)&lt;&gt;"",SUM(AX123:AX124),"")</f>
        <v>0</v>
      </c>
      <c r="AY122" s="14"/>
      <c r="AZ122" s="53" t="e">
        <f>IF(AX122&lt;&gt;"",AX122/AX$7,"")</f>
        <v>#VALUE!</v>
      </c>
      <c r="BB122" s="94" t="str">
        <f t="shared" ref="BB122:BB124" si="297">IF(AX122&lt;&gt;0,(AX122/AV122)-1,"")</f>
        <v/>
      </c>
      <c r="BD122" s="38">
        <f>IF(SUM(BD123:BD124)&lt;&gt;"",SUM(BD123:BD124),"")</f>
        <v>0</v>
      </c>
      <c r="BE122" s="14"/>
      <c r="BF122" s="38">
        <f>IF(SUM(BF123:BF124)&lt;&gt;"",SUM(BF123:BF124),"")</f>
        <v>0</v>
      </c>
      <c r="BG122" s="14"/>
      <c r="BH122" s="53" t="e">
        <f>IF(BF122&lt;&gt;"",BF122/BF$7,"")</f>
        <v>#VALUE!</v>
      </c>
      <c r="BJ122" s="94" t="str">
        <f t="shared" ref="BJ122:BJ124" si="298">IF(BF122&lt;&gt;0,(BF122/BD122)-1,"")</f>
        <v/>
      </c>
      <c r="BL122" s="38">
        <f>IF(SUM(BL123:BL124)&lt;&gt;"",SUM(BL123:BL124),"")</f>
        <v>0</v>
      </c>
      <c r="BM122" s="14"/>
      <c r="BN122" s="38">
        <f>IF(SUM(BN123:BN124)&lt;&gt;"",SUM(BN123:BN124),"")</f>
        <v>0</v>
      </c>
      <c r="BO122" s="14"/>
      <c r="BP122" s="53" t="e">
        <f>IF(BN122&lt;&gt;"",BN122/BN$7,"")</f>
        <v>#VALUE!</v>
      </c>
      <c r="BR122" s="94" t="str">
        <f t="shared" ref="BR122:BR124" si="299">IF(BN122&lt;&gt;0,(BN122/BL122)-1,"")</f>
        <v/>
      </c>
      <c r="BT122" s="38">
        <f>IF(SUM(BT123:BT124)&lt;&gt;"",SUM(BT123:BT124),"")</f>
        <v>0</v>
      </c>
      <c r="BU122" s="14"/>
      <c r="BV122" s="38">
        <f>IF(SUM(BV123:BV124)&lt;&gt;"",SUM(BV123:BV124),"")</f>
        <v>0</v>
      </c>
      <c r="BW122" s="14"/>
      <c r="BX122" s="53" t="e">
        <f>IF(BV122&lt;&gt;"",BV122/BV$7,"")</f>
        <v>#VALUE!</v>
      </c>
      <c r="BZ122" s="94" t="str">
        <f t="shared" ref="BZ122:BZ124" si="300">IF(BV122&lt;&gt;0,(BV122/BT122)-1,"")</f>
        <v/>
      </c>
      <c r="CB122" s="38">
        <f>IF(SUM(CB123:CB124)&lt;&gt;"",SUM(CB123:CB124),"")</f>
        <v>0</v>
      </c>
      <c r="CC122" s="14"/>
      <c r="CD122" s="38">
        <f>IF(SUM(CD123:CD124)&lt;&gt;"",SUM(CD123:CD124),"")</f>
        <v>0</v>
      </c>
      <c r="CE122" s="14"/>
      <c r="CF122" s="53" t="e">
        <f>IF(CD122&lt;&gt;"",CD122/CD$7,"")</f>
        <v>#VALUE!</v>
      </c>
      <c r="CH122" s="94" t="str">
        <f t="shared" ref="CH122:CH124" si="301">IF(CD122&lt;&gt;0,(CD122/CB122)-1,"")</f>
        <v/>
      </c>
      <c r="CJ122" s="38">
        <f>IF(SUM(CJ123:CJ124)&lt;&gt;"",SUM(CJ123:CJ124),"")</f>
        <v>0</v>
      </c>
      <c r="CK122" s="14"/>
      <c r="CL122" s="38">
        <f>IF(SUM(CL123:CL124)&lt;&gt;"",SUM(CL123:CL124),"")</f>
        <v>0</v>
      </c>
      <c r="CM122" s="14"/>
      <c r="CN122" s="53" t="e">
        <f>IF(CL122&lt;&gt;"",CL122/CL$7,"")</f>
        <v>#VALUE!</v>
      </c>
      <c r="CP122" s="94" t="str">
        <f t="shared" ref="CP122:CP124" si="302">IF(CL122&lt;&gt;0,(CL122/CJ122)-1,"")</f>
        <v/>
      </c>
      <c r="CR122" s="38">
        <f>IF(SUM(CR123:CR124)&lt;&gt;"",SUM(CR123:CR124),"")</f>
        <v>0</v>
      </c>
      <c r="CS122" s="14"/>
      <c r="CT122" s="38">
        <f>IF(SUM(CT123:CT124)&lt;&gt;"",SUM(CT123:CT124),"")</f>
        <v>0</v>
      </c>
      <c r="CU122" s="14"/>
      <c r="CV122" s="53" t="e">
        <f>IF(CT122&lt;&gt;"",CT122/CT$7,"")</f>
        <v>#VALUE!</v>
      </c>
      <c r="CX122" s="94" t="str">
        <f t="shared" ref="CX122:CX124" si="303">IF(CT122&lt;&gt;0,(CT122/CR122)-1,"")</f>
        <v/>
      </c>
    </row>
    <row r="123" spans="1:102" ht="15.6" x14ac:dyDescent="0.3">
      <c r="B123" s="49"/>
      <c r="C123" s="22" t="s">
        <v>42</v>
      </c>
      <c r="D123" s="109" t="e">
        <f>IF(AVERAGE(J123,R123,Z123,AH123,AP123,AX123,BF123,BN123,BV123,CD123,CL123,CT123)&lt;&gt;"",AVERAGE(J123,R123,Z123,AH123,AP123,AX123,BF123,BN123,BV123,CD123,CL123,CT123),"")</f>
        <v>#DIV/0!</v>
      </c>
      <c r="E123" s="130">
        <f>IF(SUM(J123,R123,Z123,AH123,AP123,AX123,BF123,BN123,BV123,CD123,CL123,CT123)&lt;&gt;0,SUM(J123,R123,Z123,AH123,AP123,AX123,BF123,BN123,BV123,CD123,CL123,CT123),0)</f>
        <v>0</v>
      </c>
      <c r="F123" s="73" t="str">
        <f t="shared" ref="F123:F124" si="304">IF(E123&lt;&gt;0,E123/E$7,"")</f>
        <v/>
      </c>
      <c r="H123" s="27"/>
      <c r="J123" s="146"/>
      <c r="L123" s="28" t="str">
        <f>IF(J123&lt;&gt;"",J123/J$7,"")</f>
        <v/>
      </c>
      <c r="N123" s="90" t="str">
        <f t="shared" ref="N123:N124" si="305">IF(J123&lt;&gt;0,(J123/D123)-1,"")</f>
        <v/>
      </c>
      <c r="P123" s="27"/>
      <c r="Q123" s="14"/>
      <c r="R123" s="146"/>
      <c r="S123" s="14"/>
      <c r="T123" s="28" t="str">
        <f>IF(R123&lt;&gt;"",R123/R$7,"")</f>
        <v/>
      </c>
      <c r="V123" s="90" t="str">
        <f t="shared" si="293"/>
        <v/>
      </c>
      <c r="X123" s="27"/>
      <c r="Y123" s="14"/>
      <c r="Z123" s="146"/>
      <c r="AA123" s="14"/>
      <c r="AB123" s="28" t="str">
        <f>IF(Z123&lt;&gt;"",Z123/Z$7,"")</f>
        <v/>
      </c>
      <c r="AC123" s="14"/>
      <c r="AD123" s="90" t="str">
        <f t="shared" si="294"/>
        <v/>
      </c>
      <c r="AF123" s="27"/>
      <c r="AG123" s="14"/>
      <c r="AH123" s="146"/>
      <c r="AI123" s="14"/>
      <c r="AJ123" s="28" t="str">
        <f>IF(AH123&lt;&gt;"",AH123/AH$7,"")</f>
        <v/>
      </c>
      <c r="AL123" s="90" t="str">
        <f t="shared" si="295"/>
        <v/>
      </c>
      <c r="AN123" s="27"/>
      <c r="AO123" s="14"/>
      <c r="AP123" s="146"/>
      <c r="AQ123" s="14"/>
      <c r="AR123" s="28" t="str">
        <f>IF(AP123&lt;&gt;"",AP123/AP$7,"")</f>
        <v/>
      </c>
      <c r="AT123" s="90" t="str">
        <f t="shared" si="296"/>
        <v/>
      </c>
      <c r="AV123" s="27"/>
      <c r="AW123" s="14"/>
      <c r="AX123" s="146"/>
      <c r="AY123" s="14"/>
      <c r="AZ123" s="28" t="str">
        <f>IF(AX123&lt;&gt;"",AX123/AX$7,"")</f>
        <v/>
      </c>
      <c r="BB123" s="90" t="str">
        <f t="shared" si="297"/>
        <v/>
      </c>
      <c r="BD123" s="27"/>
      <c r="BE123" s="14"/>
      <c r="BF123" s="146"/>
      <c r="BG123" s="14"/>
      <c r="BH123" s="28" t="str">
        <f>IF(BF123&lt;&gt;"",BF123/BF$7,"")</f>
        <v/>
      </c>
      <c r="BJ123" s="90" t="str">
        <f t="shared" si="298"/>
        <v/>
      </c>
      <c r="BL123" s="27"/>
      <c r="BM123" s="14"/>
      <c r="BN123" s="146"/>
      <c r="BO123" s="14"/>
      <c r="BP123" s="28" t="str">
        <f>IF(BN123&lt;&gt;"",BN123/BN$7,"")</f>
        <v/>
      </c>
      <c r="BR123" s="90" t="str">
        <f t="shared" si="299"/>
        <v/>
      </c>
      <c r="BT123" s="27"/>
      <c r="BU123" s="14"/>
      <c r="BV123" s="146"/>
      <c r="BW123" s="14"/>
      <c r="BX123" s="28" t="str">
        <f>IF(BV123&lt;&gt;"",BV123/BV$7,"")</f>
        <v/>
      </c>
      <c r="BZ123" s="90" t="str">
        <f t="shared" si="300"/>
        <v/>
      </c>
      <c r="CB123" s="27"/>
      <c r="CC123" s="14"/>
      <c r="CD123" s="146"/>
      <c r="CE123" s="14"/>
      <c r="CF123" s="28" t="str">
        <f>IF(CD123&lt;&gt;"",CD123/CD$7,"")</f>
        <v/>
      </c>
      <c r="CH123" s="90" t="str">
        <f t="shared" si="301"/>
        <v/>
      </c>
      <c r="CJ123" s="27"/>
      <c r="CK123" s="14"/>
      <c r="CL123" s="146"/>
      <c r="CM123" s="14"/>
      <c r="CN123" s="28" t="str">
        <f>IF(CL123&lt;&gt;"",CL123/CL$7,"")</f>
        <v/>
      </c>
      <c r="CP123" s="90" t="str">
        <f t="shared" si="302"/>
        <v/>
      </c>
      <c r="CR123" s="27"/>
      <c r="CS123" s="14"/>
      <c r="CT123" s="146"/>
      <c r="CU123" s="14"/>
      <c r="CV123" s="28" t="str">
        <f>IF(CT123&lt;&gt;"",CT123/CT$7,"")</f>
        <v/>
      </c>
      <c r="CX123" s="90" t="str">
        <f t="shared" si="303"/>
        <v/>
      </c>
    </row>
    <row r="124" spans="1:102" ht="16.2" thickBot="1" x14ac:dyDescent="0.35">
      <c r="B124" s="52"/>
      <c r="C124" s="62"/>
      <c r="D124" s="71" t="e">
        <f>IF(AVERAGE(J124,R124,Z124,AH124,AP124,AX124,BF124,BN124,BV124,CD124,CL124,CT124)&lt;&gt;"",AVERAGE(J124,R124,Z124,AH124,AP124,AX124,BF124,BN124,BV124,CD124,CL124,CT124),"")</f>
        <v>#DIV/0!</v>
      </c>
      <c r="E124" s="133">
        <f>IF(SUM(J124,R124,Z124,AH124,AP124,AX124,BF124,BN124,BV124,CD124,CL124,CT124)&lt;&gt;0,SUM(J124,R124,Z124,AH124,AP124,AX124,BF124,BN124,BV124,CD124,CL124,CT124),0)</f>
        <v>0</v>
      </c>
      <c r="F124" s="74" t="str">
        <f t="shared" si="304"/>
        <v/>
      </c>
      <c r="H124" s="64"/>
      <c r="J124" s="149"/>
      <c r="L124" s="65" t="str">
        <f>IF(J124&lt;&gt;"",J124/J$7,"")</f>
        <v/>
      </c>
      <c r="N124" s="90" t="str">
        <f t="shared" si="305"/>
        <v/>
      </c>
      <c r="P124" s="64"/>
      <c r="Q124" s="14"/>
      <c r="R124" s="149"/>
      <c r="S124" s="14"/>
      <c r="T124" s="65" t="str">
        <f>IF(R124&lt;&gt;"",R124/R$7,"")</f>
        <v/>
      </c>
      <c r="V124" s="97" t="str">
        <f t="shared" si="293"/>
        <v/>
      </c>
      <c r="X124" s="64"/>
      <c r="Y124" s="14"/>
      <c r="Z124" s="149"/>
      <c r="AA124" s="14"/>
      <c r="AB124" s="65" t="str">
        <f>IF(Z124&lt;&gt;"",Z124/Z$7,"")</f>
        <v/>
      </c>
      <c r="AC124" s="14"/>
      <c r="AD124" s="97" t="str">
        <f t="shared" si="294"/>
        <v/>
      </c>
      <c r="AF124" s="64"/>
      <c r="AG124" s="14"/>
      <c r="AH124" s="149"/>
      <c r="AI124" s="14"/>
      <c r="AJ124" s="65" t="str">
        <f>IF(AH124&lt;&gt;"",AH124/AH$7,"")</f>
        <v/>
      </c>
      <c r="AL124" s="97" t="str">
        <f t="shared" si="295"/>
        <v/>
      </c>
      <c r="AN124" s="64"/>
      <c r="AO124" s="14"/>
      <c r="AP124" s="149"/>
      <c r="AQ124" s="14"/>
      <c r="AR124" s="65" t="str">
        <f>IF(AP124&lt;&gt;"",AP124/AP$7,"")</f>
        <v/>
      </c>
      <c r="AT124" s="97" t="str">
        <f t="shared" si="296"/>
        <v/>
      </c>
      <c r="AV124" s="64"/>
      <c r="AW124" s="14"/>
      <c r="AX124" s="149"/>
      <c r="AY124" s="14"/>
      <c r="AZ124" s="65" t="str">
        <f>IF(AX124&lt;&gt;"",AX124/AX$7,"")</f>
        <v/>
      </c>
      <c r="BB124" s="97" t="str">
        <f t="shared" si="297"/>
        <v/>
      </c>
      <c r="BD124" s="64"/>
      <c r="BE124" s="14"/>
      <c r="BF124" s="149"/>
      <c r="BG124" s="14"/>
      <c r="BH124" s="65" t="str">
        <f>IF(BF124&lt;&gt;"",BF124/BF$7,"")</f>
        <v/>
      </c>
      <c r="BJ124" s="97" t="str">
        <f t="shared" si="298"/>
        <v/>
      </c>
      <c r="BL124" s="64"/>
      <c r="BM124" s="14"/>
      <c r="BN124" s="149"/>
      <c r="BO124" s="14"/>
      <c r="BP124" s="65" t="str">
        <f>IF(BN124&lt;&gt;"",BN124/BN$7,"")</f>
        <v/>
      </c>
      <c r="BR124" s="97" t="str">
        <f t="shared" si="299"/>
        <v/>
      </c>
      <c r="BT124" s="64"/>
      <c r="BU124" s="14"/>
      <c r="BV124" s="149"/>
      <c r="BW124" s="14"/>
      <c r="BX124" s="65" t="str">
        <f>IF(BV124&lt;&gt;"",BV124/BV$7,"")</f>
        <v/>
      </c>
      <c r="BZ124" s="97" t="str">
        <f t="shared" si="300"/>
        <v/>
      </c>
      <c r="CB124" s="64"/>
      <c r="CC124" s="14"/>
      <c r="CD124" s="149"/>
      <c r="CE124" s="14"/>
      <c r="CF124" s="65" t="str">
        <f>IF(CD124&lt;&gt;"",CD124/CD$7,"")</f>
        <v/>
      </c>
      <c r="CH124" s="97" t="str">
        <f t="shared" si="301"/>
        <v/>
      </c>
      <c r="CJ124" s="64"/>
      <c r="CK124" s="14"/>
      <c r="CL124" s="149"/>
      <c r="CM124" s="14"/>
      <c r="CN124" s="65" t="str">
        <f>IF(CL124&lt;&gt;"",CL124/CL$7,"")</f>
        <v/>
      </c>
      <c r="CP124" s="97" t="str">
        <f t="shared" si="302"/>
        <v/>
      </c>
      <c r="CR124" s="64"/>
      <c r="CS124" s="14"/>
      <c r="CT124" s="149"/>
      <c r="CU124" s="14"/>
      <c r="CV124" s="65" t="str">
        <f>IF(CT124&lt;&gt;"",CT124/CT$7,"")</f>
        <v/>
      </c>
      <c r="CX124" s="97" t="str">
        <f t="shared" si="303"/>
        <v/>
      </c>
    </row>
    <row r="125" spans="1:102" ht="8.25" customHeight="1" thickBot="1" x14ac:dyDescent="0.35">
      <c r="C125" s="39"/>
      <c r="F125" s="17"/>
      <c r="H125" s="36"/>
      <c r="J125" s="36"/>
      <c r="L125" s="31"/>
      <c r="N125" s="31"/>
      <c r="P125" s="36"/>
      <c r="Q125" s="14"/>
      <c r="R125" s="36"/>
      <c r="S125" s="14"/>
      <c r="T125" s="31"/>
      <c r="V125" s="31"/>
      <c r="X125" s="36"/>
      <c r="Y125" s="14"/>
      <c r="Z125" s="36"/>
      <c r="AA125" s="14"/>
      <c r="AB125" s="31"/>
      <c r="AC125" s="14"/>
      <c r="AD125" s="31"/>
      <c r="AF125" s="36"/>
      <c r="AG125" s="14"/>
      <c r="AH125" s="36"/>
      <c r="AI125" s="14"/>
      <c r="AJ125" s="31"/>
      <c r="AL125" s="31"/>
      <c r="AN125" s="36"/>
      <c r="AO125" s="14"/>
      <c r="AP125" s="36"/>
      <c r="AQ125" s="14"/>
      <c r="AR125" s="31"/>
      <c r="AT125" s="31"/>
      <c r="AV125" s="36"/>
      <c r="AW125" s="14"/>
      <c r="AX125" s="36"/>
      <c r="AY125" s="14"/>
      <c r="AZ125" s="31"/>
      <c r="BB125" s="31"/>
      <c r="BD125" s="36"/>
      <c r="BE125" s="14"/>
      <c r="BF125" s="36"/>
      <c r="BG125" s="14"/>
      <c r="BH125" s="31"/>
      <c r="BJ125" s="31"/>
      <c r="BL125" s="36"/>
      <c r="BM125" s="14"/>
      <c r="BN125" s="36"/>
      <c r="BO125" s="14"/>
      <c r="BP125" s="31"/>
      <c r="BR125" s="31"/>
      <c r="BT125" s="36"/>
      <c r="BU125" s="14"/>
      <c r="BV125" s="36"/>
      <c r="BW125" s="14"/>
      <c r="BX125" s="31"/>
      <c r="BZ125" s="31"/>
      <c r="CB125" s="36"/>
      <c r="CC125" s="14"/>
      <c r="CD125" s="36"/>
      <c r="CE125" s="14"/>
      <c r="CF125" s="31"/>
      <c r="CH125" s="31"/>
      <c r="CJ125" s="36"/>
      <c r="CK125" s="14"/>
      <c r="CL125" s="36"/>
      <c r="CM125" s="14"/>
      <c r="CN125" s="31"/>
      <c r="CP125" s="31"/>
      <c r="CR125" s="36"/>
      <c r="CS125" s="14"/>
      <c r="CT125" s="36"/>
      <c r="CU125" s="14"/>
      <c r="CV125" s="31"/>
      <c r="CX125" s="31"/>
    </row>
    <row r="126" spans="1:102" s="92" customFormat="1" ht="16.2" thickBot="1" x14ac:dyDescent="0.35">
      <c r="A126" s="87"/>
      <c r="B126" s="210" t="s">
        <v>47</v>
      </c>
      <c r="C126" s="211"/>
      <c r="D126" s="59" t="e">
        <f>AVERAGE(J126,R126,Z126,AH126,AP126,AX126,BF126,BN126,BV126,CD126,CL126,CT126)</f>
        <v>#DIV/0!</v>
      </c>
      <c r="E126" s="136">
        <f>SUM(J126,R126,Z126,AH126,AP126,AX126,BF126,BN126,BV126,CD126,CL126,CT126)</f>
        <v>0</v>
      </c>
      <c r="F126" s="77" t="e">
        <f>D126/D7</f>
        <v>#DIV/0!</v>
      </c>
      <c r="H126" s="60" t="str">
        <f>IF(H103&lt;&gt;"",H103-(H107+H112-H122),"")</f>
        <v/>
      </c>
      <c r="J126" s="60" t="str">
        <f>IF(J103&lt;&gt;"",J103-(J107+J112-J122),"")</f>
        <v/>
      </c>
      <c r="N126" s="61" t="str">
        <f>IF(J126&lt;&gt;"",(J126/$D126)-1,"")</f>
        <v/>
      </c>
      <c r="P126" s="60" t="str">
        <f>IF(P103&lt;&gt;"",P103-(P107+P112-P122),"")</f>
        <v/>
      </c>
      <c r="R126" s="60" t="str">
        <f>IF(R103&lt;&gt;"",R103-(R107+R112-R122),"")</f>
        <v/>
      </c>
      <c r="V126" s="93" t="str">
        <f>IF(R126&lt;&gt;"",R126/#REF!,"")</f>
        <v/>
      </c>
      <c r="X126" s="60" t="str">
        <f>IF(X103&lt;&gt;"",X103-(X107+X112-X122),"")</f>
        <v/>
      </c>
      <c r="Z126" s="60" t="str">
        <f>IF(Z103&lt;&gt;"",Z103-(Z107+Z112-Z122),"")</f>
        <v/>
      </c>
      <c r="AD126" s="93" t="str">
        <f>IF(Z126&lt;&gt;"",Z126/#REF!,"")</f>
        <v/>
      </c>
      <c r="AF126" s="60" t="str">
        <f>IF(AF103&lt;&gt;"",AF103-(AF107+AF112-AF122),"")</f>
        <v/>
      </c>
      <c r="AH126" s="60" t="str">
        <f>IF(AH103&lt;&gt;"",AH103-(AH107+AH112-AH122),"")</f>
        <v/>
      </c>
      <c r="AL126" s="93" t="str">
        <f>IF(AH126&lt;&gt;"",AH126/#REF!,"")</f>
        <v/>
      </c>
      <c r="AN126" s="60" t="str">
        <f>IF(AN103&lt;&gt;"",AN103-(AN107+AN112-AN122),"")</f>
        <v/>
      </c>
      <c r="AP126" s="60" t="str">
        <f>IF(AP103&lt;&gt;"",AP103-(AP107+AP112-AP122),"")</f>
        <v/>
      </c>
      <c r="AT126" s="93" t="str">
        <f>IF(AP126&lt;&gt;"",AP126/#REF!,"")</f>
        <v/>
      </c>
      <c r="AV126" s="60" t="str">
        <f>IF(AV103&lt;&gt;"",AV103-(AV107+AV112-AV122),"")</f>
        <v/>
      </c>
      <c r="AX126" s="60" t="str">
        <f>IF(AX103&lt;&gt;"",AX103-(AX107+AX112-AX122),"")</f>
        <v/>
      </c>
      <c r="BB126" s="93" t="str">
        <f>IF(AX126&lt;&gt;"",AX126/#REF!,"")</f>
        <v/>
      </c>
      <c r="BD126" s="60" t="str">
        <f>IF(BD103&lt;&gt;"",BD103-(BD107+BD112-BD122),"")</f>
        <v/>
      </c>
      <c r="BF126" s="60" t="str">
        <f>IF(BF103&lt;&gt;"",BF103-(BF107+BF112-BF122),"")</f>
        <v/>
      </c>
      <c r="BJ126" s="93" t="str">
        <f>IF(BF126&lt;&gt;"",BF126/#REF!,"")</f>
        <v/>
      </c>
      <c r="BL126" s="60" t="str">
        <f>IF(BL103&lt;&gt;"",BL103-(BL107+BL112-BL122),"")</f>
        <v/>
      </c>
      <c r="BN126" s="60" t="str">
        <f>IF(BN103&lt;&gt;"",BN103-(BN107+BN112-BN122),"")</f>
        <v/>
      </c>
      <c r="BR126" s="93" t="str">
        <f>IF(BN126&lt;&gt;"",BN126/#REF!,"")</f>
        <v/>
      </c>
      <c r="BT126" s="60" t="str">
        <f>IF(BT103&lt;&gt;"",BT103-(BT107+BT112-BT122),"")</f>
        <v/>
      </c>
      <c r="BV126" s="60" t="str">
        <f>IF(BV103&lt;&gt;"",BV103-(BV107+BV112-BV122),"")</f>
        <v/>
      </c>
      <c r="BZ126" s="93" t="str">
        <f>IF(BV126&lt;&gt;"",BV126/#REF!,"")</f>
        <v/>
      </c>
      <c r="CB126" s="60" t="str">
        <f>IF(CB103&lt;&gt;"",CB103-(CB107+CB112-CB122),"")</f>
        <v/>
      </c>
      <c r="CD126" s="60" t="str">
        <f>IF(CD103&lt;&gt;"",CD103-(CD107+CD112-CD122),"")</f>
        <v/>
      </c>
      <c r="CH126" s="93" t="str">
        <f>IF(CD126&lt;&gt;"",CD126/#REF!,"")</f>
        <v/>
      </c>
      <c r="CJ126" s="60" t="str">
        <f>IF(CJ103&lt;&gt;"",CJ103-(CJ107+CJ112-CJ122),"")</f>
        <v/>
      </c>
      <c r="CL126" s="60" t="str">
        <f>IF(CL103&lt;&gt;"",CL103-(CL107+CL112-CL122),"")</f>
        <v/>
      </c>
      <c r="CP126" s="93" t="str">
        <f>IF(CL126&lt;&gt;"",CL126/#REF!,"")</f>
        <v/>
      </c>
      <c r="CR126" s="60" t="str">
        <f>IF(CR103&lt;&gt;"",CR103-(CR107+CR112-CR122),"")</f>
        <v/>
      </c>
      <c r="CT126" s="60" t="str">
        <f>IF(CT103&lt;&gt;"",CT103-(CT107+CT112-CT122),"")</f>
        <v/>
      </c>
      <c r="CX126" s="93" t="str">
        <f>IF(CT126&lt;&gt;"",CT126/#REF!,"")</f>
        <v/>
      </c>
    </row>
    <row r="127" spans="1:102" ht="9" customHeight="1" thickBot="1" x14ac:dyDescent="0.35">
      <c r="F127" s="72"/>
      <c r="J127" s="41"/>
      <c r="N127" s="31"/>
      <c r="P127" s="41"/>
      <c r="Q127" s="14"/>
      <c r="R127" s="41"/>
      <c r="S127" s="14"/>
      <c r="T127" s="14"/>
      <c r="V127" s="31"/>
      <c r="X127" s="41"/>
      <c r="Y127" s="14"/>
      <c r="Z127" s="41"/>
      <c r="AA127" s="14"/>
      <c r="AB127" s="14"/>
      <c r="AC127" s="14"/>
      <c r="AD127" s="31"/>
      <c r="AF127" s="41"/>
      <c r="AG127" s="14"/>
      <c r="AH127" s="41"/>
      <c r="AI127" s="14"/>
      <c r="AJ127" s="14"/>
      <c r="AL127" s="31"/>
      <c r="AO127" s="14"/>
      <c r="AQ127" s="14"/>
      <c r="AR127" s="14"/>
      <c r="AT127" s="31"/>
      <c r="AV127" s="41"/>
      <c r="AW127" s="14"/>
      <c r="AX127" s="41"/>
      <c r="AY127" s="14"/>
      <c r="AZ127" s="14"/>
      <c r="BB127" s="31"/>
      <c r="BD127" s="41"/>
      <c r="BE127" s="14"/>
      <c r="BF127" s="41"/>
      <c r="BG127" s="14"/>
      <c r="BH127" s="14"/>
      <c r="BJ127" s="31"/>
      <c r="BM127" s="14"/>
      <c r="BO127" s="14"/>
      <c r="BP127" s="14"/>
      <c r="BR127" s="31"/>
      <c r="BU127" s="14"/>
      <c r="BW127" s="14"/>
      <c r="BX127" s="14"/>
      <c r="BZ127" s="31"/>
      <c r="CB127" s="41"/>
      <c r="CC127" s="14"/>
      <c r="CD127" s="41"/>
      <c r="CE127" s="14"/>
      <c r="CF127" s="14"/>
      <c r="CH127" s="31"/>
      <c r="CK127" s="14"/>
      <c r="CM127" s="14"/>
      <c r="CN127" s="14"/>
      <c r="CP127" s="31"/>
      <c r="CR127" s="41"/>
      <c r="CS127" s="14"/>
      <c r="CT127" s="41"/>
      <c r="CU127" s="14"/>
      <c r="CV127" s="14"/>
      <c r="CX127" s="31"/>
    </row>
    <row r="128" spans="1:102" ht="16.2" thickBot="1" x14ac:dyDescent="0.35">
      <c r="B128" s="206" t="s">
        <v>87</v>
      </c>
      <c r="C128" s="207"/>
      <c r="D128" s="107" t="e">
        <f>IF(D103&lt;&gt;"",((D101/D23)*D7),"")</f>
        <v>#DIV/0!</v>
      </c>
      <c r="E128" s="139" t="str">
        <f>IF(E103&lt;&gt;0,((E101/E23)*E7),"")</f>
        <v/>
      </c>
      <c r="F128" s="108" t="e">
        <f>IF(D128&lt;&gt;"",(1-(D128/D7)),"")</f>
        <v>#DIV/0!</v>
      </c>
      <c r="H128" s="14"/>
      <c r="I128" s="43"/>
      <c r="J128" s="29" t="str">
        <f>IF(J103&lt;&gt;"",((J101/J23)*J7),"")</f>
        <v/>
      </c>
      <c r="K128" s="43"/>
      <c r="M128" s="43"/>
      <c r="N128" s="44" t="e">
        <f>J128/#REF!</f>
        <v>#VALUE!</v>
      </c>
      <c r="P128" s="14"/>
      <c r="R128" s="29" t="str">
        <f>IF(R103&lt;&gt;"",((R101/R23)*R7),"")</f>
        <v/>
      </c>
      <c r="T128" s="14"/>
      <c r="U128" s="43"/>
      <c r="V128" s="44" t="e">
        <f>R128/#REF!</f>
        <v>#VALUE!</v>
      </c>
      <c r="X128" s="14"/>
      <c r="Z128" s="29" t="str">
        <f>IF(Z103&lt;&gt;"",((Z101/Z23)*Z7),"")</f>
        <v/>
      </c>
      <c r="AB128" s="14"/>
      <c r="AD128" s="44" t="e">
        <f>Z128/#REF!</f>
        <v>#VALUE!</v>
      </c>
      <c r="AF128" s="14"/>
      <c r="AH128" s="29" t="str">
        <f>IF(AH103&lt;&gt;"",((AH101/AH23)*AH7),"")</f>
        <v/>
      </c>
      <c r="AJ128" s="14"/>
      <c r="AK128" s="43"/>
      <c r="AL128" s="44" t="e">
        <f>AH128/#REF!</f>
        <v>#VALUE!</v>
      </c>
      <c r="AN128" s="14"/>
      <c r="AO128" s="43"/>
      <c r="AP128" s="29" t="str">
        <f>IF(AP103&lt;&gt;"",((AP101/AP23)*AP7),"")</f>
        <v/>
      </c>
      <c r="AQ128" s="43"/>
      <c r="AR128" s="14"/>
      <c r="AS128" s="43"/>
      <c r="AT128" s="44" t="e">
        <f>AP128/#REF!</f>
        <v>#VALUE!</v>
      </c>
      <c r="AV128" s="14"/>
      <c r="AX128" s="29" t="str">
        <f>IF(AX103&lt;&gt;"",((AX101/AX23)*AX7),"")</f>
        <v/>
      </c>
      <c r="AZ128" s="14"/>
      <c r="BA128" s="43"/>
      <c r="BB128" s="44" t="e">
        <f>AX128/#REF!</f>
        <v>#VALUE!</v>
      </c>
      <c r="BD128" s="14"/>
      <c r="BF128" s="29" t="str">
        <f>IF(BF103&lt;&gt;"",((BF101/BF23)*BF7),"")</f>
        <v/>
      </c>
      <c r="BH128" s="14"/>
      <c r="BI128" s="43"/>
      <c r="BJ128" s="44" t="e">
        <f>BF128/#REF!</f>
        <v>#VALUE!</v>
      </c>
      <c r="BL128" s="14"/>
      <c r="BM128" s="43"/>
      <c r="BN128" s="29" t="str">
        <f>IF(BN103&lt;&gt;"",((BN101/BN23)*BN7),"")</f>
        <v/>
      </c>
      <c r="BO128" s="43"/>
      <c r="BP128" s="14"/>
      <c r="BQ128" s="43"/>
      <c r="BR128" s="44" t="e">
        <f>BN128/#REF!</f>
        <v>#VALUE!</v>
      </c>
      <c r="BT128" s="14"/>
      <c r="BU128" s="43"/>
      <c r="BV128" s="29" t="str">
        <f>IF(BV103&lt;&gt;"",((BV101/BV23)*BV7),"")</f>
        <v/>
      </c>
      <c r="BW128" s="43"/>
      <c r="BX128" s="14"/>
      <c r="BY128" s="43"/>
      <c r="BZ128" s="44" t="e">
        <f>BV128/#REF!</f>
        <v>#VALUE!</v>
      </c>
      <c r="CB128" s="14"/>
      <c r="CD128" s="29" t="str">
        <f>IF(CD103&lt;&gt;"",((CD101/CD23)*CD7),"")</f>
        <v/>
      </c>
      <c r="CF128" s="14"/>
      <c r="CG128" s="43"/>
      <c r="CH128" s="44" t="e">
        <f>CD128/#REF!</f>
        <v>#VALUE!</v>
      </c>
      <c r="CJ128" s="14"/>
      <c r="CK128" s="43"/>
      <c r="CL128" s="29" t="str">
        <f>IF(CL103&lt;&gt;"",((CL101/CL23)*CL7),"")</f>
        <v/>
      </c>
      <c r="CM128" s="43"/>
      <c r="CN128" s="14"/>
      <c r="CO128" s="43"/>
      <c r="CP128" s="44" t="e">
        <f>CL128/#REF!</f>
        <v>#VALUE!</v>
      </c>
      <c r="CR128" s="14"/>
      <c r="CT128" s="29" t="str">
        <f>IF(CT103&lt;&gt;"",((CT101/CT23)*CT7),"")</f>
        <v/>
      </c>
      <c r="CV128" s="14"/>
      <c r="CW128" s="43"/>
      <c r="CX128" s="44" t="e">
        <f>CT128/#REF!</f>
        <v>#VALUE!</v>
      </c>
    </row>
    <row r="129" spans="2:102" ht="8.25" customHeight="1" thickBot="1" x14ac:dyDescent="0.35">
      <c r="F129" s="17"/>
      <c r="H129" s="14"/>
      <c r="P129" s="14"/>
      <c r="Q129" s="14"/>
      <c r="R129" s="14"/>
      <c r="S129" s="14"/>
      <c r="T129" s="14"/>
      <c r="X129" s="14"/>
      <c r="Y129" s="14"/>
      <c r="Z129" s="14"/>
      <c r="AA129" s="14"/>
      <c r="AB129" s="14"/>
      <c r="AC129" s="14"/>
      <c r="AF129" s="14"/>
      <c r="AG129" s="14"/>
      <c r="AH129" s="14"/>
      <c r="AI129" s="14"/>
      <c r="AJ129" s="14"/>
      <c r="AN129" s="14"/>
      <c r="AO129" s="14"/>
      <c r="AP129" s="14"/>
      <c r="AQ129" s="14"/>
      <c r="AR129" s="14"/>
      <c r="AV129" s="14"/>
      <c r="AW129" s="14"/>
      <c r="AX129" s="14"/>
      <c r="AY129" s="14"/>
      <c r="AZ129" s="14"/>
      <c r="BD129" s="14"/>
      <c r="BE129" s="14"/>
      <c r="BF129" s="14"/>
      <c r="BG129" s="14"/>
      <c r="BH129" s="14"/>
      <c r="BL129" s="14"/>
      <c r="BM129" s="14"/>
      <c r="BN129" s="14"/>
      <c r="BO129" s="14"/>
      <c r="BP129" s="14"/>
      <c r="BT129" s="14"/>
      <c r="BU129" s="14"/>
      <c r="BV129" s="14"/>
      <c r="BW129" s="14"/>
      <c r="BX129" s="14"/>
      <c r="CB129" s="14"/>
      <c r="CC129" s="14"/>
      <c r="CD129" s="14"/>
      <c r="CE129" s="14"/>
      <c r="CF129" s="14"/>
      <c r="CJ129" s="14"/>
      <c r="CK129" s="14"/>
      <c r="CL129" s="14"/>
      <c r="CM129" s="14"/>
      <c r="CN129" s="14"/>
      <c r="CR129" s="14"/>
      <c r="CS129" s="14"/>
      <c r="CT129" s="14"/>
      <c r="CU129" s="14"/>
      <c r="CV129" s="14"/>
    </row>
    <row r="130" spans="2:102" ht="16.2" thickBot="1" x14ac:dyDescent="0.35">
      <c r="B130" s="206" t="s">
        <v>136</v>
      </c>
      <c r="C130" s="207"/>
      <c r="D130" s="107" t="e">
        <f>IF(D7&lt;&gt;"",((D101+D107+D112)/D23)*D7,"")</f>
        <v>#DIV/0!</v>
      </c>
      <c r="E130" s="139" t="str">
        <f>IF(E7&lt;&gt;"",((E101+E107+E112)/E23)*E7,"")</f>
        <v/>
      </c>
      <c r="F130" s="108" t="e">
        <f>IF(D130&lt;&gt;"",((D23/D130)-1),"")</f>
        <v>#DIV/0!</v>
      </c>
      <c r="H130" s="14"/>
      <c r="I130" s="43"/>
      <c r="J130" s="29" t="str">
        <f>IF(J7&lt;&gt;"",((J101+J107+J112)/J23)*J7,"")</f>
        <v/>
      </c>
      <c r="K130" s="43"/>
      <c r="M130" s="43"/>
      <c r="N130" s="44" t="str">
        <f>IF(J130&lt;&gt;"",J130/#REF!,"")</f>
        <v/>
      </c>
      <c r="P130" s="14"/>
      <c r="R130" s="29" t="str">
        <f>IF(R7&lt;&gt;"",((R101+R107+R112)/R23)*R7,"")</f>
        <v/>
      </c>
      <c r="T130" s="14"/>
      <c r="U130" s="43"/>
      <c r="V130" s="44" t="str">
        <f>IF(R130&lt;&gt;"",R130/#REF!,"")</f>
        <v/>
      </c>
      <c r="X130" s="14"/>
      <c r="Z130" s="29" t="str">
        <f>IF(Z7&lt;&gt;"",((Z101+Z107+Z112)/Z23)*Z7,"")</f>
        <v/>
      </c>
      <c r="AB130" s="14"/>
      <c r="AD130" s="44" t="str">
        <f>IF(Z130&lt;&gt;"",Z130/#REF!,"")</f>
        <v/>
      </c>
      <c r="AF130" s="14"/>
      <c r="AH130" s="29" t="str">
        <f>IF(AH7&lt;&gt;"",((AH101+AH107+AH112)/AH23)*AH7,"")</f>
        <v/>
      </c>
      <c r="AJ130" s="14"/>
      <c r="AK130" s="43"/>
      <c r="AL130" s="44" t="str">
        <f>IF(AH130&lt;&gt;"",AH130/#REF!,"")</f>
        <v/>
      </c>
      <c r="AN130" s="14"/>
      <c r="AO130" s="43"/>
      <c r="AP130" s="29" t="str">
        <f>IF(AP7&lt;&gt;"",((AP101+AP107+AP112)/AP23)*AP7,"")</f>
        <v/>
      </c>
      <c r="AQ130" s="43"/>
      <c r="AR130" s="14"/>
      <c r="AS130" s="43"/>
      <c r="AT130" s="44" t="str">
        <f>IF(AP130&lt;&gt;"",AP130/#REF!,"")</f>
        <v/>
      </c>
      <c r="AV130" s="14"/>
      <c r="AX130" s="29" t="str">
        <f>IF(AX7&lt;&gt;"",((AX101+AX107+AX112)/AX23)*AX7,"")</f>
        <v/>
      </c>
      <c r="AZ130" s="14"/>
      <c r="BA130" s="43"/>
      <c r="BB130" s="44" t="str">
        <f>IF(AX130&lt;&gt;"",AX130/#REF!,"")</f>
        <v/>
      </c>
      <c r="BD130" s="14"/>
      <c r="BF130" s="29" t="str">
        <f>IF(BF7&lt;&gt;"",((BF101+BF107+BF112)/BF23)*BF7,"")</f>
        <v/>
      </c>
      <c r="BH130" s="14"/>
      <c r="BI130" s="43"/>
      <c r="BJ130" s="44" t="str">
        <f>IF(BF130&lt;&gt;"",BF130/#REF!,"")</f>
        <v/>
      </c>
      <c r="BL130" s="14"/>
      <c r="BM130" s="43"/>
      <c r="BN130" s="29" t="str">
        <f>IF(BN7&lt;&gt;"",((BN101+BN107+BN112)/BN23)*BN7,"")</f>
        <v/>
      </c>
      <c r="BO130" s="43"/>
      <c r="BP130" s="14"/>
      <c r="BQ130" s="43"/>
      <c r="BR130" s="44" t="str">
        <f>IF(BN130&lt;&gt;"",BN130/#REF!,"")</f>
        <v/>
      </c>
      <c r="BT130" s="14"/>
      <c r="BU130" s="43"/>
      <c r="BV130" s="29" t="str">
        <f>IF(BV7&lt;&gt;"",((BV101+BV107+BV112)/BV23)*BV7,"")</f>
        <v/>
      </c>
      <c r="BW130" s="43"/>
      <c r="BX130" s="14"/>
      <c r="BY130" s="43"/>
      <c r="BZ130" s="44" t="str">
        <f>IF(BV130&lt;&gt;"",BV130/#REF!,"")</f>
        <v/>
      </c>
      <c r="CB130" s="14"/>
      <c r="CD130" s="29" t="str">
        <f>IF(CD7&lt;&gt;"",((CD101+CD107+CD112)/CD23)*CD7,"")</f>
        <v/>
      </c>
      <c r="CF130" s="14"/>
      <c r="CG130" s="43"/>
      <c r="CH130" s="44" t="str">
        <f>IF(CD130&lt;&gt;"",CD130/#REF!,"")</f>
        <v/>
      </c>
      <c r="CJ130" s="14"/>
      <c r="CK130" s="43"/>
      <c r="CL130" s="29" t="str">
        <f>IF(CL7&lt;&gt;"",((CL101+CL107+CL112)/CL23)*CL7,"")</f>
        <v/>
      </c>
      <c r="CM130" s="43"/>
      <c r="CN130" s="14"/>
      <c r="CO130" s="43"/>
      <c r="CP130" s="44" t="str">
        <f>IF(CL130&lt;&gt;"",CL130/#REF!,"")</f>
        <v/>
      </c>
      <c r="CR130" s="14"/>
      <c r="CT130" s="29" t="str">
        <f>IF(CT7&lt;&gt;"",((CT101+CT107+CT112)/CT23)*CT7,"")</f>
        <v/>
      </c>
      <c r="CV130" s="14"/>
      <c r="CW130" s="43"/>
      <c r="CX130" s="44" t="str">
        <f>IF(CT130&lt;&gt;"",CT130/#REF!,"")</f>
        <v/>
      </c>
    </row>
    <row r="131" spans="2:102" x14ac:dyDescent="0.3">
      <c r="H131" s="14"/>
      <c r="P131" s="14"/>
      <c r="R131" s="14"/>
      <c r="X131" s="14"/>
      <c r="Z131" s="14"/>
      <c r="AF131" s="14"/>
      <c r="AH131" s="14"/>
      <c r="AN131" s="14"/>
      <c r="AP131" s="14"/>
      <c r="AV131" s="14"/>
      <c r="AX131" s="14"/>
      <c r="BD131" s="14"/>
      <c r="BF131" s="14"/>
      <c r="BL131" s="14"/>
      <c r="BN131" s="14"/>
      <c r="BT131" s="14"/>
      <c r="BV131" s="14"/>
      <c r="CB131" s="14"/>
      <c r="CD131" s="14"/>
      <c r="CJ131" s="14"/>
      <c r="CL131" s="14"/>
      <c r="CR131" s="14"/>
      <c r="CT131" s="14"/>
    </row>
    <row r="132" spans="2:102" x14ac:dyDescent="0.3">
      <c r="H132" s="14"/>
      <c r="P132" s="14"/>
      <c r="R132" s="14"/>
      <c r="X132" s="14"/>
      <c r="Z132" s="14"/>
      <c r="AF132" s="14"/>
      <c r="AH132" s="14"/>
      <c r="AN132" s="14"/>
      <c r="AP132" s="14"/>
      <c r="AV132" s="14"/>
      <c r="AX132" s="14"/>
      <c r="BD132" s="14"/>
      <c r="BF132" s="14"/>
      <c r="BL132" s="14"/>
      <c r="BN132" s="14"/>
      <c r="BT132" s="14"/>
      <c r="BV132" s="14"/>
      <c r="CB132" s="14"/>
      <c r="CD132" s="14"/>
      <c r="CJ132" s="14"/>
      <c r="CL132" s="14"/>
      <c r="CR132" s="14"/>
      <c r="CT132" s="14"/>
    </row>
    <row r="135" spans="2:102" x14ac:dyDescent="0.3">
      <c r="D135" s="122"/>
      <c r="F135" s="45"/>
    </row>
  </sheetData>
  <mergeCells count="36">
    <mergeCell ref="P2:V2"/>
    <mergeCell ref="B43:C43"/>
    <mergeCell ref="BT2:BZ2"/>
    <mergeCell ref="B12:C12"/>
    <mergeCell ref="B14:C14"/>
    <mergeCell ref="B23:C23"/>
    <mergeCell ref="B25:C25"/>
    <mergeCell ref="B27:C27"/>
    <mergeCell ref="CB2:CH2"/>
    <mergeCell ref="CJ2:CP2"/>
    <mergeCell ref="CR2:CX2"/>
    <mergeCell ref="B5:C5"/>
    <mergeCell ref="B7:C7"/>
    <mergeCell ref="X2:AD2"/>
    <mergeCell ref="AF2:AL2"/>
    <mergeCell ref="AN2:AT2"/>
    <mergeCell ref="AV2:BB2"/>
    <mergeCell ref="BD2:BJ2"/>
    <mergeCell ref="BL2:BR2"/>
    <mergeCell ref="B2:C3"/>
    <mergeCell ref="D2:D3"/>
    <mergeCell ref="E2:E3"/>
    <mergeCell ref="F2:F3"/>
    <mergeCell ref="H2:N2"/>
    <mergeCell ref="B130:C130"/>
    <mergeCell ref="B50:C50"/>
    <mergeCell ref="B75:C75"/>
    <mergeCell ref="B82:C82"/>
    <mergeCell ref="B91:C91"/>
    <mergeCell ref="B101:C101"/>
    <mergeCell ref="B103:C103"/>
    <mergeCell ref="B107:C107"/>
    <mergeCell ref="B112:C112"/>
    <mergeCell ref="B122:C122"/>
    <mergeCell ref="B126:C126"/>
    <mergeCell ref="B128:C128"/>
  </mergeCells>
  <pageMargins left="0.7" right="0.7" top="0.75" bottom="0.75" header="0.3" footer="0.3"/>
  <pageSetup paperSize="9" scale="25" fitToHeight="0" orientation="landscape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CX137"/>
  <sheetViews>
    <sheetView showGridLines="0" workbookViewId="0">
      <pane xSplit="3" ySplit="3" topLeftCell="D4" activePane="bottomRight" state="frozen"/>
      <selection pane="topRight" activeCell="B1" sqref="B1"/>
      <selection pane="bottomLeft" activeCell="A3" sqref="A3"/>
      <selection pane="bottomRight" activeCell="B2" sqref="B2:C3"/>
    </sheetView>
  </sheetViews>
  <sheetFormatPr defaultColWidth="9.109375" defaultRowHeight="14.4" x14ac:dyDescent="0.3"/>
  <cols>
    <col min="1" max="1" width="2.44140625" customWidth="1"/>
    <col min="2" max="2" width="5.5546875" style="14" customWidth="1"/>
    <col min="3" max="3" width="70.44140625" style="14" bestFit="1" customWidth="1"/>
    <col min="4" max="4" width="19.44140625" style="36" customWidth="1"/>
    <col min="5" max="5" width="16" style="134" customWidth="1"/>
    <col min="6" max="6" width="16.109375" style="40" customWidth="1"/>
    <col min="7" max="7" width="2.109375" style="14" customWidth="1"/>
    <col min="8" max="8" width="13.44140625" style="41" customWidth="1"/>
    <col min="9" max="9" width="1.109375" style="14" customWidth="1"/>
    <col min="10" max="10" width="13.44140625" style="14" customWidth="1"/>
    <col min="11" max="11" width="1.109375" style="14" customWidth="1"/>
    <col min="12" max="12" width="9.109375" style="14" customWidth="1"/>
    <col min="13" max="13" width="1.33203125" style="14" customWidth="1"/>
    <col min="14" max="14" width="9.88671875" style="14" customWidth="1"/>
    <col min="15" max="15" width="2.109375" style="14" customWidth="1"/>
    <col min="16" max="16" width="14.44140625" style="43" customWidth="1"/>
    <col min="17" max="17" width="1.109375" style="43" customWidth="1"/>
    <col min="18" max="18" width="13.44140625" style="43" customWidth="1"/>
    <col min="19" max="19" width="1.109375" style="43" customWidth="1"/>
    <col min="20" max="20" width="8.88671875" style="43" customWidth="1"/>
    <col min="21" max="21" width="1.109375" style="14" customWidth="1"/>
    <col min="22" max="22" width="12.5546875" style="14" customWidth="1"/>
    <col min="23" max="23" width="2.109375" style="14" customWidth="1"/>
    <col min="24" max="24" width="13.44140625" style="43" customWidth="1"/>
    <col min="25" max="25" width="1" style="43" customWidth="1"/>
    <col min="26" max="26" width="13.44140625" style="43" customWidth="1"/>
    <col min="27" max="27" width="1" style="43" customWidth="1"/>
    <col min="28" max="28" width="8.6640625" style="43" customWidth="1"/>
    <col min="29" max="29" width="1.109375" style="43" customWidth="1"/>
    <col min="30" max="30" width="9.88671875" style="14" customWidth="1"/>
    <col min="31" max="31" width="2.109375" style="14" customWidth="1"/>
    <col min="32" max="32" width="13.44140625" style="43" customWidth="1"/>
    <col min="33" max="33" width="1.33203125" style="43" customWidth="1"/>
    <col min="34" max="34" width="13.44140625" style="43" customWidth="1"/>
    <col min="35" max="35" width="1.109375" style="43" customWidth="1"/>
    <col min="36" max="36" width="8.33203125" style="43" customWidth="1"/>
    <col min="37" max="37" width="1.44140625" style="14" customWidth="1"/>
    <col min="38" max="38" width="9.33203125" style="14" customWidth="1"/>
    <col min="39" max="39" width="2.109375" style="14" customWidth="1"/>
    <col min="40" max="40" width="13.44140625" style="41" customWidth="1"/>
    <col min="41" max="41" width="1.33203125" style="41" customWidth="1"/>
    <col min="42" max="42" width="13.44140625" style="41" customWidth="1"/>
    <col min="43" max="43" width="1.109375" style="41" customWidth="1"/>
    <col min="44" max="44" width="8.44140625" style="41" customWidth="1"/>
    <col min="45" max="45" width="1.33203125" style="14" customWidth="1"/>
    <col min="46" max="46" width="10.6640625" style="14" customWidth="1"/>
    <col min="47" max="47" width="2.109375" style="14" customWidth="1"/>
    <col min="48" max="48" width="13.44140625" style="43" customWidth="1"/>
    <col min="49" max="49" width="1.5546875" style="43" customWidth="1"/>
    <col min="50" max="50" width="13.44140625" style="43" customWidth="1"/>
    <col min="51" max="51" width="1.109375" style="43" customWidth="1"/>
    <col min="52" max="52" width="9.6640625" style="43" customWidth="1"/>
    <col min="53" max="53" width="1" style="14" customWidth="1"/>
    <col min="54" max="54" width="9.109375" style="14" customWidth="1"/>
    <col min="55" max="55" width="2.109375" style="14" customWidth="1"/>
    <col min="56" max="56" width="14.109375" style="43" customWidth="1"/>
    <col min="57" max="57" width="1.109375" style="43" customWidth="1"/>
    <col min="58" max="58" width="13.44140625" style="43" customWidth="1"/>
    <col min="59" max="59" width="1.109375" style="43" customWidth="1"/>
    <col min="60" max="60" width="7.88671875" style="43" customWidth="1"/>
    <col min="61" max="61" width="1" style="14" customWidth="1"/>
    <col min="62" max="62" width="10.109375" style="14" customWidth="1"/>
    <col min="63" max="63" width="2.109375" style="14" customWidth="1"/>
    <col min="64" max="64" width="13.44140625" style="41" bestFit="1" customWidth="1"/>
    <col min="65" max="65" width="1.33203125" style="41" customWidth="1"/>
    <col min="66" max="66" width="13.44140625" style="41" bestFit="1" customWidth="1"/>
    <col min="67" max="67" width="1" style="41" customWidth="1"/>
    <col min="68" max="68" width="8.6640625" style="41" bestFit="1" customWidth="1"/>
    <col min="69" max="69" width="1.109375" style="14" customWidth="1"/>
    <col min="70" max="70" width="9" style="14" customWidth="1"/>
    <col min="71" max="71" width="2.109375" style="14" customWidth="1"/>
    <col min="72" max="72" width="13.44140625" style="41" bestFit="1" customWidth="1"/>
    <col min="73" max="73" width="1.33203125" style="41" customWidth="1"/>
    <col min="74" max="74" width="13" style="41" customWidth="1"/>
    <col min="75" max="75" width="1" style="41" customWidth="1"/>
    <col min="76" max="76" width="8.88671875" style="41" bestFit="1" customWidth="1"/>
    <col min="77" max="77" width="1.109375" style="14" customWidth="1"/>
    <col min="78" max="78" width="9.109375" style="14" customWidth="1"/>
    <col min="79" max="79" width="2.109375" style="14" customWidth="1"/>
    <col min="80" max="80" width="13.44140625" style="43" bestFit="1" customWidth="1"/>
    <col min="81" max="81" width="1.109375" style="43" customWidth="1"/>
    <col min="82" max="82" width="13" style="43" customWidth="1"/>
    <col min="83" max="83" width="1" style="43" customWidth="1"/>
    <col min="84" max="84" width="8.88671875" style="43" bestFit="1" customWidth="1"/>
    <col min="85" max="85" width="1" style="14" customWidth="1"/>
    <col min="86" max="86" width="10.6640625" style="14" customWidth="1"/>
    <col min="87" max="87" width="2.109375" style="14" customWidth="1"/>
    <col min="88" max="88" width="13.44140625" style="41" bestFit="1" customWidth="1"/>
    <col min="89" max="89" width="1" style="41" customWidth="1"/>
    <col min="90" max="90" width="13.44140625" style="41" bestFit="1" customWidth="1"/>
    <col min="91" max="91" width="1" style="41" customWidth="1"/>
    <col min="92" max="92" width="8.88671875" style="41" bestFit="1" customWidth="1"/>
    <col min="93" max="93" width="1.109375" style="14" customWidth="1"/>
    <col min="94" max="94" width="9.6640625" style="14" bestFit="1" customWidth="1"/>
    <col min="95" max="95" width="2.109375" style="14" customWidth="1"/>
    <col min="96" max="96" width="13.44140625" style="43" bestFit="1" customWidth="1"/>
    <col min="97" max="97" width="1.109375" style="43" customWidth="1"/>
    <col min="98" max="98" width="13.44140625" style="43" bestFit="1" customWidth="1"/>
    <col min="99" max="99" width="1.109375" style="43" customWidth="1"/>
    <col min="100" max="100" width="9.109375" style="43" customWidth="1"/>
    <col min="101" max="101" width="1.109375" style="14" customWidth="1"/>
    <col min="102" max="102" width="9.109375" style="14" customWidth="1"/>
    <col min="103" max="103" width="1.6640625" style="14" customWidth="1"/>
    <col min="104" max="106" width="9.109375" style="14"/>
    <col min="107" max="107" width="9.109375" style="14" customWidth="1"/>
    <col min="108" max="114" width="9.109375" style="14"/>
    <col min="115" max="115" width="9.109375" style="14" customWidth="1"/>
    <col min="116" max="122" width="9.109375" style="14"/>
    <col min="123" max="123" width="9.109375" style="14" customWidth="1"/>
    <col min="124" max="130" width="9.109375" style="14"/>
    <col min="131" max="131" width="9.109375" style="14" customWidth="1"/>
    <col min="132" max="138" width="9.109375" style="14"/>
    <col min="139" max="139" width="9.109375" style="14" customWidth="1"/>
    <col min="140" max="146" width="9.109375" style="14"/>
    <col min="147" max="147" width="9.109375" style="14" customWidth="1"/>
    <col min="148" max="16384" width="9.109375" style="14"/>
  </cols>
  <sheetData>
    <row r="1" spans="1:102" customFormat="1" ht="10.5" customHeight="1" thickBot="1" x14ac:dyDescent="0.35">
      <c r="D1" s="1"/>
      <c r="E1" s="123"/>
      <c r="F1" s="2"/>
      <c r="H1" s="3"/>
      <c r="P1" s="4"/>
      <c r="Q1" s="4"/>
      <c r="R1" s="4"/>
      <c r="S1" s="4"/>
      <c r="T1" s="4"/>
      <c r="X1" s="4"/>
      <c r="Y1" s="4"/>
      <c r="Z1" s="4"/>
      <c r="AA1" s="4"/>
      <c r="AB1" s="4"/>
      <c r="AC1" s="4"/>
      <c r="AF1" s="4"/>
      <c r="AG1" s="4"/>
      <c r="AH1" s="4"/>
      <c r="AI1" s="4"/>
      <c r="AJ1" s="4"/>
      <c r="AN1" s="3"/>
      <c r="AO1" s="3"/>
      <c r="AP1" s="3"/>
      <c r="AQ1" s="3"/>
      <c r="AR1" s="3"/>
      <c r="AV1" s="4"/>
      <c r="AW1" s="4"/>
      <c r="AX1" s="4"/>
      <c r="AY1" s="4"/>
      <c r="AZ1" s="4"/>
      <c r="BD1" s="4"/>
      <c r="BE1" s="4"/>
      <c r="BF1" s="4"/>
      <c r="BG1" s="4"/>
      <c r="BH1" s="4"/>
      <c r="BL1" s="3"/>
      <c r="BM1" s="3"/>
      <c r="BN1" s="3"/>
      <c r="BO1" s="3"/>
      <c r="BP1" s="3"/>
      <c r="BT1" s="3"/>
      <c r="BU1" s="3"/>
      <c r="BV1" s="3"/>
      <c r="BW1" s="3"/>
      <c r="BX1" s="3"/>
      <c r="CB1" s="4"/>
      <c r="CC1" s="4"/>
      <c r="CD1" s="4"/>
      <c r="CE1" s="4"/>
      <c r="CF1" s="4"/>
      <c r="CJ1" s="3"/>
      <c r="CK1" s="3"/>
      <c r="CL1" s="3"/>
      <c r="CM1" s="3"/>
      <c r="CN1" s="3"/>
      <c r="CR1" s="4"/>
      <c r="CS1" s="4"/>
      <c r="CT1" s="4"/>
      <c r="CU1" s="4"/>
      <c r="CV1" s="4"/>
    </row>
    <row r="2" spans="1:102" customFormat="1" ht="49.5" customHeight="1" thickBot="1" x14ac:dyDescent="0.35">
      <c r="B2" s="222" t="s">
        <v>151</v>
      </c>
      <c r="C2" s="223"/>
      <c r="D2" s="226" t="s">
        <v>49</v>
      </c>
      <c r="E2" s="226" t="s">
        <v>50</v>
      </c>
      <c r="F2" s="228" t="s">
        <v>51</v>
      </c>
      <c r="H2" s="218" t="s">
        <v>0</v>
      </c>
      <c r="I2" s="219"/>
      <c r="J2" s="219"/>
      <c r="K2" s="219"/>
      <c r="L2" s="219"/>
      <c r="M2" s="219"/>
      <c r="N2" s="220"/>
      <c r="P2" s="215" t="s">
        <v>1</v>
      </c>
      <c r="Q2" s="216"/>
      <c r="R2" s="216"/>
      <c r="S2" s="216"/>
      <c r="T2" s="216"/>
      <c r="U2" s="216"/>
      <c r="V2" s="217"/>
      <c r="X2" s="215" t="s">
        <v>2</v>
      </c>
      <c r="Y2" s="216"/>
      <c r="Z2" s="216"/>
      <c r="AA2" s="216"/>
      <c r="AB2" s="216"/>
      <c r="AC2" s="216"/>
      <c r="AD2" s="217"/>
      <c r="AF2" s="215" t="s">
        <v>3</v>
      </c>
      <c r="AG2" s="216"/>
      <c r="AH2" s="216"/>
      <c r="AI2" s="216"/>
      <c r="AJ2" s="216"/>
      <c r="AK2" s="216"/>
      <c r="AL2" s="217"/>
      <c r="AN2" s="218" t="s">
        <v>4</v>
      </c>
      <c r="AO2" s="219"/>
      <c r="AP2" s="219"/>
      <c r="AQ2" s="219"/>
      <c r="AR2" s="219"/>
      <c r="AS2" s="219"/>
      <c r="AT2" s="220"/>
      <c r="AV2" s="215" t="s">
        <v>5</v>
      </c>
      <c r="AW2" s="216"/>
      <c r="AX2" s="216"/>
      <c r="AY2" s="216"/>
      <c r="AZ2" s="216"/>
      <c r="BA2" s="216"/>
      <c r="BB2" s="217"/>
      <c r="BD2" s="215" t="s">
        <v>6</v>
      </c>
      <c r="BE2" s="216"/>
      <c r="BF2" s="216"/>
      <c r="BG2" s="216"/>
      <c r="BH2" s="216"/>
      <c r="BI2" s="216"/>
      <c r="BJ2" s="217"/>
      <c r="BL2" s="218" t="s">
        <v>7</v>
      </c>
      <c r="BM2" s="219"/>
      <c r="BN2" s="219"/>
      <c r="BO2" s="219"/>
      <c r="BP2" s="219"/>
      <c r="BQ2" s="219"/>
      <c r="BR2" s="220"/>
      <c r="BT2" s="218" t="s">
        <v>8</v>
      </c>
      <c r="BU2" s="219"/>
      <c r="BV2" s="219"/>
      <c r="BW2" s="219"/>
      <c r="BX2" s="219"/>
      <c r="BY2" s="219"/>
      <c r="BZ2" s="220"/>
      <c r="CB2" s="215" t="s">
        <v>9</v>
      </c>
      <c r="CC2" s="216"/>
      <c r="CD2" s="216"/>
      <c r="CE2" s="216"/>
      <c r="CF2" s="216"/>
      <c r="CG2" s="216"/>
      <c r="CH2" s="217"/>
      <c r="CJ2" s="218" t="s">
        <v>10</v>
      </c>
      <c r="CK2" s="219"/>
      <c r="CL2" s="219"/>
      <c r="CM2" s="219"/>
      <c r="CN2" s="219"/>
      <c r="CO2" s="219"/>
      <c r="CP2" s="220"/>
      <c r="CR2" s="215" t="s">
        <v>11</v>
      </c>
      <c r="CS2" s="216"/>
      <c r="CT2" s="216"/>
      <c r="CU2" s="216"/>
      <c r="CV2" s="216"/>
      <c r="CW2" s="216"/>
      <c r="CX2" s="217"/>
    </row>
    <row r="3" spans="1:102" customFormat="1" ht="31.8" thickBot="1" x14ac:dyDescent="0.35">
      <c r="B3" s="224"/>
      <c r="C3" s="225"/>
      <c r="D3" s="227"/>
      <c r="E3" s="227"/>
      <c r="F3" s="229"/>
      <c r="H3" s="86" t="s">
        <v>84</v>
      </c>
      <c r="I3" s="87"/>
      <c r="J3" s="88" t="s">
        <v>12</v>
      </c>
      <c r="K3" s="87"/>
      <c r="L3" s="88" t="s">
        <v>85</v>
      </c>
      <c r="M3" s="87"/>
      <c r="N3" s="88" t="s">
        <v>86</v>
      </c>
      <c r="P3" s="86" t="s">
        <v>84</v>
      </c>
      <c r="Q3" s="87"/>
      <c r="R3" s="88" t="s">
        <v>12</v>
      </c>
      <c r="S3" s="87"/>
      <c r="T3" s="88" t="s">
        <v>85</v>
      </c>
      <c r="U3" s="87"/>
      <c r="V3" s="88" t="s">
        <v>86</v>
      </c>
      <c r="X3" s="86" t="s">
        <v>84</v>
      </c>
      <c r="Y3" s="87"/>
      <c r="Z3" s="88" t="s">
        <v>12</v>
      </c>
      <c r="AA3" s="87"/>
      <c r="AB3" s="88" t="s">
        <v>85</v>
      </c>
      <c r="AC3" s="87"/>
      <c r="AD3" s="88" t="s">
        <v>86</v>
      </c>
      <c r="AF3" s="86" t="s">
        <v>84</v>
      </c>
      <c r="AG3" s="87"/>
      <c r="AH3" s="88" t="s">
        <v>12</v>
      </c>
      <c r="AI3" s="87"/>
      <c r="AJ3" s="88" t="s">
        <v>85</v>
      </c>
      <c r="AK3" s="87"/>
      <c r="AL3" s="88" t="s">
        <v>86</v>
      </c>
      <c r="AN3" s="86" t="s">
        <v>84</v>
      </c>
      <c r="AO3" s="87"/>
      <c r="AP3" s="88" t="s">
        <v>12</v>
      </c>
      <c r="AQ3" s="87"/>
      <c r="AR3" s="88" t="s">
        <v>85</v>
      </c>
      <c r="AS3" s="87"/>
      <c r="AT3" s="88" t="s">
        <v>86</v>
      </c>
      <c r="AV3" s="86" t="s">
        <v>84</v>
      </c>
      <c r="AW3" s="87"/>
      <c r="AX3" s="88" t="s">
        <v>12</v>
      </c>
      <c r="AY3" s="87"/>
      <c r="AZ3" s="88" t="s">
        <v>85</v>
      </c>
      <c r="BA3" s="87"/>
      <c r="BB3" s="88" t="s">
        <v>86</v>
      </c>
      <c r="BD3" s="86" t="s">
        <v>84</v>
      </c>
      <c r="BE3" s="87"/>
      <c r="BF3" s="88" t="s">
        <v>12</v>
      </c>
      <c r="BG3" s="87"/>
      <c r="BH3" s="88" t="s">
        <v>85</v>
      </c>
      <c r="BI3" s="87"/>
      <c r="BJ3" s="88" t="s">
        <v>86</v>
      </c>
      <c r="BL3" s="86" t="s">
        <v>84</v>
      </c>
      <c r="BM3" s="87"/>
      <c r="BN3" s="88" t="s">
        <v>12</v>
      </c>
      <c r="BO3" s="87"/>
      <c r="BP3" s="88" t="s">
        <v>85</v>
      </c>
      <c r="BQ3" s="87"/>
      <c r="BR3" s="88" t="s">
        <v>86</v>
      </c>
      <c r="BT3" s="86" t="s">
        <v>84</v>
      </c>
      <c r="BU3" s="87"/>
      <c r="BV3" s="88" t="s">
        <v>12</v>
      </c>
      <c r="BW3" s="87"/>
      <c r="BX3" s="88" t="s">
        <v>85</v>
      </c>
      <c r="BY3" s="87"/>
      <c r="BZ3" s="88" t="s">
        <v>86</v>
      </c>
      <c r="CB3" s="86" t="s">
        <v>84</v>
      </c>
      <c r="CC3" s="87"/>
      <c r="CD3" s="88" t="s">
        <v>12</v>
      </c>
      <c r="CE3" s="87"/>
      <c r="CF3" s="88" t="s">
        <v>85</v>
      </c>
      <c r="CG3" s="87"/>
      <c r="CH3" s="88" t="s">
        <v>86</v>
      </c>
      <c r="CJ3" s="86" t="s">
        <v>84</v>
      </c>
      <c r="CK3" s="87"/>
      <c r="CL3" s="88" t="s">
        <v>12</v>
      </c>
      <c r="CM3" s="87"/>
      <c r="CN3" s="88" t="s">
        <v>85</v>
      </c>
      <c r="CO3" s="87"/>
      <c r="CP3" s="88" t="s">
        <v>86</v>
      </c>
      <c r="CR3" s="86" t="s">
        <v>84</v>
      </c>
      <c r="CS3" s="87"/>
      <c r="CT3" s="88" t="s">
        <v>12</v>
      </c>
      <c r="CU3" s="87"/>
      <c r="CV3" s="88" t="s">
        <v>85</v>
      </c>
      <c r="CW3" s="87"/>
      <c r="CX3" s="88" t="s">
        <v>86</v>
      </c>
    </row>
    <row r="4" spans="1:102" customFormat="1" ht="16.2" thickBot="1" x14ac:dyDescent="0.35">
      <c r="C4" s="5"/>
      <c r="D4" s="6"/>
      <c r="E4" s="124"/>
      <c r="F4" s="7"/>
      <c r="H4" s="6"/>
      <c r="P4" s="8"/>
      <c r="Q4" s="8"/>
      <c r="R4" s="8"/>
      <c r="S4" s="8"/>
      <c r="T4" s="8"/>
      <c r="X4" s="8"/>
      <c r="Y4" s="8"/>
      <c r="Z4" s="8"/>
      <c r="AA4" s="8"/>
      <c r="AB4" s="8"/>
      <c r="AC4" s="8"/>
      <c r="AF4" s="8"/>
      <c r="AG4" s="8"/>
      <c r="AH4" s="8"/>
      <c r="AI4" s="8"/>
      <c r="AJ4" s="8"/>
      <c r="AN4" s="6"/>
      <c r="AO4" s="6"/>
      <c r="AP4" s="6"/>
      <c r="AQ4" s="6"/>
      <c r="AR4" s="6"/>
      <c r="AV4" s="9"/>
      <c r="AW4" s="9"/>
      <c r="AX4" s="9"/>
      <c r="AY4" s="9"/>
      <c r="AZ4" s="9"/>
      <c r="BD4" s="9"/>
      <c r="BE4" s="9"/>
      <c r="BF4" s="9"/>
      <c r="BG4" s="9"/>
      <c r="BH4" s="9"/>
      <c r="BL4" s="10"/>
      <c r="BM4" s="10"/>
      <c r="BN4" s="10"/>
      <c r="BO4" s="10"/>
      <c r="BP4" s="10"/>
      <c r="BT4" s="11"/>
      <c r="BU4" s="11"/>
      <c r="BV4" s="11"/>
      <c r="BW4" s="11"/>
      <c r="BX4" s="11"/>
      <c r="CB4" s="9"/>
      <c r="CC4" s="9"/>
      <c r="CD4" s="9"/>
      <c r="CE4" s="9"/>
      <c r="CF4" s="9"/>
      <c r="CJ4" s="11"/>
      <c r="CK4" s="11"/>
      <c r="CL4" s="11"/>
      <c r="CM4" s="11"/>
      <c r="CN4" s="11"/>
      <c r="CR4" s="9"/>
      <c r="CS4" s="9"/>
      <c r="CT4" s="9"/>
      <c r="CU4" s="9"/>
      <c r="CV4" s="9"/>
    </row>
    <row r="5" spans="1:102" ht="16.2" thickBot="1" x14ac:dyDescent="0.35">
      <c r="B5" s="213" t="s">
        <v>13</v>
      </c>
      <c r="C5" s="221"/>
      <c r="D5" s="12"/>
      <c r="E5" s="125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3"/>
    </row>
    <row r="6" spans="1:102" ht="10.5" customHeight="1" thickBot="1" x14ac:dyDescent="0.35">
      <c r="B6"/>
      <c r="C6" s="15"/>
      <c r="D6" s="16"/>
      <c r="E6" s="126"/>
      <c r="F6" s="17"/>
      <c r="H6" s="18"/>
      <c r="P6" s="19"/>
      <c r="Q6" s="19"/>
      <c r="R6" s="19"/>
      <c r="S6" s="19"/>
      <c r="T6" s="19"/>
      <c r="X6" s="19"/>
      <c r="Y6" s="19"/>
      <c r="Z6" s="19"/>
      <c r="AA6" s="19"/>
      <c r="AB6" s="19"/>
      <c r="AC6" s="19"/>
      <c r="AF6" s="19"/>
      <c r="AG6" s="19"/>
      <c r="AH6" s="19"/>
      <c r="AI6" s="19"/>
      <c r="AJ6" s="19"/>
      <c r="AN6" s="18"/>
      <c r="AO6" s="18"/>
      <c r="AP6" s="18"/>
      <c r="AQ6" s="18"/>
      <c r="AR6" s="18"/>
      <c r="AV6" s="19"/>
      <c r="AW6" s="19"/>
      <c r="AX6" s="19"/>
      <c r="AY6" s="19"/>
      <c r="AZ6" s="19"/>
      <c r="BD6" s="19"/>
      <c r="BE6" s="19"/>
      <c r="BF6" s="19"/>
      <c r="BG6" s="19"/>
      <c r="BH6" s="19"/>
      <c r="BL6" s="18"/>
      <c r="BM6" s="18"/>
      <c r="BN6" s="18"/>
      <c r="BO6" s="18"/>
      <c r="BP6" s="18"/>
      <c r="BT6" s="18"/>
      <c r="BU6" s="18"/>
      <c r="BV6" s="18"/>
      <c r="BW6" s="18"/>
      <c r="BX6" s="18"/>
      <c r="CB6" s="19"/>
      <c r="CC6" s="19"/>
      <c r="CD6" s="19"/>
      <c r="CE6" s="19"/>
      <c r="CF6" s="19"/>
      <c r="CJ6" s="18"/>
      <c r="CK6" s="18"/>
      <c r="CL6" s="18"/>
      <c r="CM6" s="18"/>
      <c r="CN6" s="18"/>
      <c r="CR6" s="19"/>
      <c r="CS6" s="19"/>
      <c r="CT6" s="19"/>
      <c r="CU6" s="19"/>
      <c r="CV6" s="19"/>
    </row>
    <row r="7" spans="1:102" ht="16.2" thickBot="1" x14ac:dyDescent="0.35">
      <c r="B7" s="213" t="s">
        <v>44</v>
      </c>
      <c r="C7" s="221"/>
      <c r="D7" s="42" t="e">
        <f>IF(AVERAGE(J7,R7,Z7,AH7,AP7,AX7,BF7,BN7,BV7,CD7,CL7,CT7)&lt;&gt;"",AVERAGE(J7,R7,Z7,AH7,AP7,AX7,BF7,BN7,BV7,CD7,CL7,CT7),"")</f>
        <v>#DIV/0!</v>
      </c>
      <c r="E7" s="127" t="str">
        <f>IF(SUM(J7,R7,Z7,AH7,AP7,AX7,BF7,BN7,BV7,CD7,CL7,CT7)&lt;&gt;0,SUM(J7,R7,Z7,AH7,AP7,AX7,BF7,BN7,BV7,CD7,CL7,CT7),"")</f>
        <v/>
      </c>
      <c r="F7" s="89" t="e">
        <f>IF(D7&lt;&gt;"",(D7/#REF!)-1,"")</f>
        <v>#DIV/0!</v>
      </c>
      <c r="H7" s="29" t="str">
        <f>IF(H8&gt;0,SUM(H8),"")</f>
        <v/>
      </c>
      <c r="J7" s="29" t="str">
        <f>IF(J8&gt;0,SUM(J8),"")</f>
        <v/>
      </c>
      <c r="N7" s="30" t="str">
        <f>IF(J7&lt;&gt;"",(J7/H7)-1,"")</f>
        <v/>
      </c>
      <c r="P7" s="29" t="str">
        <f>IF(P8&gt;0,SUM(P8),"")</f>
        <v/>
      </c>
      <c r="Q7" s="14"/>
      <c r="R7" s="29" t="str">
        <f>IF(R8&gt;0,SUM(R8),"")</f>
        <v/>
      </c>
      <c r="S7" s="14"/>
      <c r="T7" s="14"/>
      <c r="V7" s="30" t="str">
        <f>IF(R7&lt;&gt;"",(R7/P7)-1,"")</f>
        <v/>
      </c>
      <c r="X7" s="29" t="str">
        <f>IF(X8&gt;0,SUM(X8),"")</f>
        <v/>
      </c>
      <c r="Y7" s="14"/>
      <c r="Z7" s="29" t="str">
        <f>IF(Z8&gt;0,SUM(Z8),"")</f>
        <v/>
      </c>
      <c r="AA7" s="14"/>
      <c r="AB7" s="14"/>
      <c r="AC7" s="14"/>
      <c r="AD7" s="30" t="str">
        <f>IF(Z7&lt;&gt;"",(Z7/X7)-1,"")</f>
        <v/>
      </c>
      <c r="AF7" s="29" t="str">
        <f>IF(AF8&gt;0,SUM(AF8),"")</f>
        <v/>
      </c>
      <c r="AG7" s="14"/>
      <c r="AH7" s="29" t="str">
        <f>IF(AH8&gt;0,SUM(AH8),"")</f>
        <v/>
      </c>
      <c r="AI7" s="14"/>
      <c r="AJ7" s="14"/>
      <c r="AL7" s="30" t="str">
        <f>IF(AH7&lt;&gt;"",(AH7/AF7)-1,"")</f>
        <v/>
      </c>
      <c r="AN7" s="29" t="str">
        <f>IF(AN8&gt;0,SUM(AN8),"")</f>
        <v/>
      </c>
      <c r="AO7" s="14"/>
      <c r="AP7" s="29" t="str">
        <f>IF(AP8&gt;0,SUM(AP8),"")</f>
        <v/>
      </c>
      <c r="AQ7" s="14"/>
      <c r="AR7" s="14"/>
      <c r="AT7" s="30" t="str">
        <f>IF(AP7&lt;&gt;"",(AP7/AN7)-1,"")</f>
        <v/>
      </c>
      <c r="AV7" s="29" t="str">
        <f>IF(AV8&gt;0,SUM(AV8),"")</f>
        <v/>
      </c>
      <c r="AW7" s="14"/>
      <c r="AX7" s="29" t="str">
        <f>IF(AX8&gt;0,SUM(AX8),"")</f>
        <v/>
      </c>
      <c r="AY7" s="14"/>
      <c r="AZ7" s="14"/>
      <c r="BB7" s="30" t="str">
        <f>IF(AX7&lt;&gt;"",(AX7/AV7)-1,"")</f>
        <v/>
      </c>
      <c r="BD7" s="29" t="str">
        <f>IF(BD8&gt;0,SUM(BD8),"")</f>
        <v/>
      </c>
      <c r="BE7" s="14"/>
      <c r="BF7" s="29" t="str">
        <f>IF(BF8&gt;0,SUM(BF8),"")</f>
        <v/>
      </c>
      <c r="BG7" s="14"/>
      <c r="BH7" s="14"/>
      <c r="BJ7" s="30" t="str">
        <f>IF(BF7&lt;&gt;"",(BF7/BD7)-1,"")</f>
        <v/>
      </c>
      <c r="BL7" s="29" t="str">
        <f>IF(BL8&gt;0,SUM(BL8),"")</f>
        <v/>
      </c>
      <c r="BM7" s="14"/>
      <c r="BN7" s="29" t="str">
        <f>IF(BN8&gt;0,SUM(BN8),"")</f>
        <v/>
      </c>
      <c r="BO7" s="14"/>
      <c r="BP7" s="14"/>
      <c r="BR7" s="30" t="str">
        <f>IF(BN7&lt;&gt;"",(BN7/BL7)-1,"")</f>
        <v/>
      </c>
      <c r="BT7" s="29" t="str">
        <f>IF(BT8&gt;0,SUM(BT8),"")</f>
        <v/>
      </c>
      <c r="BU7" s="14"/>
      <c r="BV7" s="29" t="str">
        <f>IF(BV8&gt;0,SUM(BV8),"")</f>
        <v/>
      </c>
      <c r="BW7" s="14"/>
      <c r="BX7" s="14"/>
      <c r="BZ7" s="30" t="str">
        <f>IF(BV7&lt;&gt;"",(BV7/BT7)-1,"")</f>
        <v/>
      </c>
      <c r="CB7" s="29" t="str">
        <f>IF(CB8&gt;0,SUM(CB8),"")</f>
        <v/>
      </c>
      <c r="CC7" s="14"/>
      <c r="CD7" s="29" t="str">
        <f>IF(CD8&gt;0,SUM(CD8),"")</f>
        <v/>
      </c>
      <c r="CE7" s="14"/>
      <c r="CF7" s="14"/>
      <c r="CH7" s="30" t="str">
        <f>IF(CD7&lt;&gt;"",(CD7/CB7)-1,"")</f>
        <v/>
      </c>
      <c r="CJ7" s="29" t="str">
        <f>IF(CJ8&gt;0,SUM(CJ8),"")</f>
        <v/>
      </c>
      <c r="CK7" s="14"/>
      <c r="CL7" s="29" t="str">
        <f>IF(CL8&gt;0,SUM(CL8),"")</f>
        <v/>
      </c>
      <c r="CM7" s="14"/>
      <c r="CN7" s="14"/>
      <c r="CP7" s="30" t="str">
        <f>IF(CL7&lt;&gt;"",(CL7/CJ7)-1,"")</f>
        <v/>
      </c>
      <c r="CR7" s="29" t="str">
        <f>IF(CR8&gt;0,SUM(CR8),"")</f>
        <v/>
      </c>
      <c r="CS7" s="14"/>
      <c r="CT7" s="29" t="str">
        <f>IF(CT8&gt;0,SUM(CT8),"")</f>
        <v/>
      </c>
      <c r="CU7" s="14"/>
      <c r="CV7" s="14"/>
      <c r="CX7" s="30" t="str">
        <f>IF(CT7&lt;&gt;"",(CT7/CR7)-1,"")</f>
        <v/>
      </c>
    </row>
    <row r="8" spans="1:102" ht="16.2" thickBot="1" x14ac:dyDescent="0.35">
      <c r="B8" s="117"/>
      <c r="C8" s="118" t="s">
        <v>141</v>
      </c>
      <c r="D8" s="119" t="e">
        <f>IF(AVERAGE(J8,R8,Z8,AH8,AP8,AX8,BF8,BN8,BV8,CD8,CL8,CT8)&lt;&gt;"",AVERAGE(J8,R8,Z8,AH8,AP8,AX8,BF8,BN8,BV8,CD8,CL8,CT8),"")</f>
        <v>#DIV/0!</v>
      </c>
      <c r="E8" s="128">
        <f>IF(SUM(J8,R8,Z8,AH8,AP8,AX8,BF8,BN8,BV8,CD8,CL8,CT8)&lt;&gt;"",SUM(J8,R8,Z8,AH8,AP8,AX8,BF8,BN8,BV8,CD8,CL8,CT8),"")</f>
        <v>0</v>
      </c>
      <c r="F8" s="121" t="e">
        <f>IF(D8&lt;&gt;"",(D8/D131)-1,"")</f>
        <v>#DIV/0!</v>
      </c>
      <c r="H8" s="82"/>
      <c r="J8" s="140"/>
      <c r="N8" s="30" t="str">
        <f>IF(J8&lt;&gt;"",(J8/$D$8)-1,"")</f>
        <v/>
      </c>
      <c r="P8" s="82"/>
      <c r="Q8" s="14"/>
      <c r="R8" s="140"/>
      <c r="S8" s="14"/>
      <c r="T8" s="14"/>
      <c r="V8" s="30" t="str">
        <f>IF(R8&lt;&gt;"",(R8/$D$8)-1,"")</f>
        <v/>
      </c>
      <c r="X8" s="82"/>
      <c r="Y8" s="14"/>
      <c r="Z8" s="140"/>
      <c r="AA8" s="14"/>
      <c r="AB8" s="14"/>
      <c r="AC8" s="14"/>
      <c r="AD8" s="30" t="str">
        <f>IF(Z8&lt;&gt;"",(Z8/$D$8)-1,"")</f>
        <v/>
      </c>
      <c r="AF8" s="82"/>
      <c r="AG8" s="14"/>
      <c r="AH8" s="140"/>
      <c r="AI8" s="14"/>
      <c r="AJ8" s="14"/>
      <c r="AL8" s="30" t="str">
        <f>IF(AH8&lt;&gt;"",(AH8/$D$8)-1,"")</f>
        <v/>
      </c>
      <c r="AN8" s="82"/>
      <c r="AO8" s="14"/>
      <c r="AP8" s="140"/>
      <c r="AQ8" s="14"/>
      <c r="AR8" s="14"/>
      <c r="AT8" s="30" t="str">
        <f>IF(AP8&lt;&gt;"",(AP8/$D$8)-1,"")</f>
        <v/>
      </c>
      <c r="AV8" s="82"/>
      <c r="AW8" s="14"/>
      <c r="AX8" s="140"/>
      <c r="AY8" s="14"/>
      <c r="AZ8" s="14"/>
      <c r="BB8" s="30" t="str">
        <f>IF(AX8&lt;&gt;"",(AX8/$D$8)-1,"")</f>
        <v/>
      </c>
      <c r="BD8" s="82"/>
      <c r="BE8" s="14"/>
      <c r="BF8" s="140"/>
      <c r="BG8" s="14"/>
      <c r="BH8" s="14"/>
      <c r="BJ8" s="30" t="str">
        <f>IF(BF8&lt;&gt;"",(BF8/$D$8)-1,"")</f>
        <v/>
      </c>
      <c r="BL8" s="82"/>
      <c r="BM8" s="14"/>
      <c r="BN8" s="140"/>
      <c r="BO8" s="14"/>
      <c r="BP8" s="14"/>
      <c r="BR8" s="30" t="str">
        <f>IF(BN8&lt;&gt;"",(BN8/$D$8)-1,"")</f>
        <v/>
      </c>
      <c r="BT8" s="82"/>
      <c r="BU8" s="14"/>
      <c r="BV8" s="140"/>
      <c r="BW8" s="14"/>
      <c r="BX8" s="14"/>
      <c r="BZ8" s="30" t="str">
        <f>IF(BV8&lt;&gt;"",(BV8/$D$8)-1,"")</f>
        <v/>
      </c>
      <c r="CB8" s="82"/>
      <c r="CC8" s="14"/>
      <c r="CD8" s="140"/>
      <c r="CE8" s="14"/>
      <c r="CF8" s="14"/>
      <c r="CH8" s="30" t="str">
        <f>IF(CD8&lt;&gt;"",(CD8/$D$8)-1,"")</f>
        <v/>
      </c>
      <c r="CJ8" s="82"/>
      <c r="CK8" s="14"/>
      <c r="CL8" s="140"/>
      <c r="CM8" s="14"/>
      <c r="CN8" s="14"/>
      <c r="CP8" s="30" t="str">
        <f>IF(CL8&lt;&gt;"",(CL8/$D$8)-1,"")</f>
        <v/>
      </c>
      <c r="CR8" s="82"/>
      <c r="CS8" s="14"/>
      <c r="CT8" s="140"/>
      <c r="CU8" s="14"/>
      <c r="CV8" s="14"/>
      <c r="CX8" s="30" t="str">
        <f>IF(CT8&lt;&gt;"",(CT8/$D$8)-1,"")</f>
        <v/>
      </c>
    </row>
    <row r="9" spans="1:102" ht="16.2" thickBot="1" x14ac:dyDescent="0.35">
      <c r="B9" s="117"/>
      <c r="C9" s="118" t="s">
        <v>142</v>
      </c>
      <c r="D9" s="119" t="e">
        <f>IF(AVERAGE(J9,R9,Z9,AH9,AP9,AX9,BF9,BN9,BV9,CD9,CL9,CT9)&lt;&gt;"",AVERAGE(J9,R9,Z9,AH9,AP9,AX9,BF9,BN9,BV9,CD9,CL9,CT9),"")</f>
        <v>#DIV/0!</v>
      </c>
      <c r="E9" s="128">
        <f>IF(SUM(J9,R9,Z9,AH9,AP9,AX9,BF9,BN9,BV9,CD9,CL9,CT9)&lt;&gt;"",SUM(J9,R9,Z9,AH9,AP9,AX9,BF9,BN9,BV9,CD9,CL9,CT9),"")</f>
        <v>0</v>
      </c>
      <c r="F9" s="121" t="e">
        <f>IF(D9&lt;&gt;"",(D9/D132)-1,"")</f>
        <v>#DIV/0!</v>
      </c>
      <c r="H9" s="82"/>
      <c r="J9" s="140"/>
      <c r="N9" s="30" t="str">
        <f>IF(J9&lt;&gt;"",(J9/$D$9)-1,"")</f>
        <v/>
      </c>
      <c r="P9" s="82"/>
      <c r="Q9" s="14"/>
      <c r="R9" s="140"/>
      <c r="S9" s="14"/>
      <c r="T9" s="14"/>
      <c r="V9" s="30" t="str">
        <f>IF(R9&lt;&gt;"",(R9/$D$9)-1,"")</f>
        <v/>
      </c>
      <c r="X9" s="82"/>
      <c r="Y9" s="14"/>
      <c r="Z9" s="140"/>
      <c r="AA9" s="14"/>
      <c r="AB9" s="14"/>
      <c r="AC9" s="14"/>
      <c r="AD9" s="30" t="str">
        <f>IF(Z9&lt;&gt;"",(Z9/$D$9)-1,"")</f>
        <v/>
      </c>
      <c r="AF9" s="82"/>
      <c r="AG9" s="14"/>
      <c r="AH9" s="140"/>
      <c r="AI9" s="14"/>
      <c r="AJ9" s="14"/>
      <c r="AL9" s="30" t="str">
        <f>IF(AH9&lt;&gt;"",(AH9/$D$9)-1,"")</f>
        <v/>
      </c>
      <c r="AN9" s="82"/>
      <c r="AO9" s="14"/>
      <c r="AP9" s="140"/>
      <c r="AQ9" s="14"/>
      <c r="AR9" s="14"/>
      <c r="AT9" s="30" t="str">
        <f>IF(AP9&lt;&gt;"",(AP9/$D$9)-1,"")</f>
        <v/>
      </c>
      <c r="AV9" s="82"/>
      <c r="AW9" s="14"/>
      <c r="AX9" s="140"/>
      <c r="AY9" s="14"/>
      <c r="AZ9" s="14"/>
      <c r="BB9" s="30" t="str">
        <f>IF(AX9&lt;&gt;"",(AX9/$D$9)-1,"")</f>
        <v/>
      </c>
      <c r="BD9" s="82"/>
      <c r="BE9" s="14"/>
      <c r="BF9" s="140"/>
      <c r="BG9" s="14"/>
      <c r="BH9" s="14"/>
      <c r="BJ9" s="30" t="str">
        <f>IF(BF9&lt;&gt;"",(BF9/$D$9)-1,"")</f>
        <v/>
      </c>
      <c r="BL9" s="82"/>
      <c r="BM9" s="14"/>
      <c r="BN9" s="140"/>
      <c r="BO9" s="14"/>
      <c r="BP9" s="14"/>
      <c r="BR9" s="30" t="str">
        <f>IF(BN9&lt;&gt;"",(BN9/$D$9)-1,"")</f>
        <v/>
      </c>
      <c r="BT9" s="82"/>
      <c r="BU9" s="14"/>
      <c r="BV9" s="140"/>
      <c r="BW9" s="14"/>
      <c r="BX9" s="14"/>
      <c r="BZ9" s="30" t="str">
        <f>IF(BV9&lt;&gt;"",(BV9/$D$9)-1,"")</f>
        <v/>
      </c>
      <c r="CB9" s="82"/>
      <c r="CC9" s="14"/>
      <c r="CD9" s="140"/>
      <c r="CE9" s="14"/>
      <c r="CF9" s="14"/>
      <c r="CH9" s="30" t="str">
        <f>IF(CD9&lt;&gt;"",(CD9/$D$9)-1,"")</f>
        <v/>
      </c>
      <c r="CJ9" s="82"/>
      <c r="CK9" s="14"/>
      <c r="CL9" s="140"/>
      <c r="CM9" s="14"/>
      <c r="CN9" s="14"/>
      <c r="CP9" s="30" t="str">
        <f>IF(CL9&lt;&gt;"",(CL9/$D$9)-1,"")</f>
        <v/>
      </c>
      <c r="CR9" s="82"/>
      <c r="CS9" s="14"/>
      <c r="CT9" s="140"/>
      <c r="CU9" s="14"/>
      <c r="CV9" s="14"/>
      <c r="CX9" s="30" t="str">
        <f>IF(CT9&lt;&gt;"",(CT9/$D$9)-1,"")</f>
        <v/>
      </c>
    </row>
    <row r="10" spans="1:102" ht="9.75" customHeight="1" thickBot="1" x14ac:dyDescent="0.35">
      <c r="D10" s="14"/>
      <c r="E10" s="116"/>
      <c r="F10" s="14"/>
      <c r="H10" s="14"/>
      <c r="P10" s="14"/>
      <c r="Q10" s="14"/>
      <c r="R10" s="14"/>
      <c r="S10" s="14"/>
      <c r="T10" s="14"/>
      <c r="X10" s="14"/>
      <c r="Y10" s="14"/>
      <c r="Z10" s="14"/>
      <c r="AA10" s="14"/>
      <c r="AB10" s="14"/>
      <c r="AC10" s="14"/>
      <c r="AF10" s="14"/>
      <c r="AG10" s="14"/>
      <c r="AH10" s="14"/>
      <c r="AI10" s="14"/>
      <c r="AJ10" s="14"/>
      <c r="AN10" s="14"/>
      <c r="AO10" s="14"/>
      <c r="AP10" s="14"/>
      <c r="AQ10" s="14"/>
      <c r="AR10" s="14"/>
      <c r="AV10" s="14"/>
      <c r="AW10" s="14"/>
      <c r="AX10" s="14"/>
      <c r="AY10" s="14"/>
      <c r="AZ10" s="14"/>
      <c r="BD10" s="14"/>
      <c r="BE10" s="14"/>
      <c r="BF10" s="14"/>
      <c r="BG10" s="14"/>
      <c r="BH10" s="14"/>
      <c r="BL10" s="14"/>
      <c r="BM10" s="14"/>
      <c r="BN10" s="14"/>
      <c r="BO10" s="14"/>
      <c r="BP10" s="14"/>
      <c r="BT10" s="14"/>
      <c r="BU10" s="14"/>
      <c r="BV10" s="14"/>
      <c r="BW10" s="14"/>
      <c r="BX10" s="14"/>
      <c r="CB10" s="14"/>
      <c r="CC10" s="14"/>
      <c r="CD10" s="14"/>
      <c r="CE10" s="14"/>
      <c r="CF10" s="14"/>
      <c r="CJ10" s="14"/>
      <c r="CK10" s="14"/>
      <c r="CL10" s="14"/>
      <c r="CM10" s="14"/>
      <c r="CN10" s="14"/>
      <c r="CR10" s="14"/>
      <c r="CS10" s="14"/>
      <c r="CT10" s="14"/>
      <c r="CU10" s="14"/>
      <c r="CV10" s="14"/>
    </row>
    <row r="11" spans="1:102" ht="16.2" thickBot="1" x14ac:dyDescent="0.35">
      <c r="B11" s="208" t="s">
        <v>14</v>
      </c>
      <c r="C11" s="212"/>
      <c r="D11" s="23"/>
      <c r="E11" s="129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</row>
    <row r="12" spans="1:102" ht="8.25" customHeight="1" thickBot="1" x14ac:dyDescent="0.35">
      <c r="B12" s="24"/>
      <c r="C12" s="25"/>
      <c r="D12" s="16"/>
      <c r="E12" s="126"/>
      <c r="F12" s="17"/>
      <c r="H12" s="16"/>
      <c r="J12" s="16"/>
      <c r="P12" s="16"/>
      <c r="Q12" s="14"/>
      <c r="R12" s="16"/>
      <c r="S12" s="14"/>
      <c r="T12" s="14"/>
      <c r="X12" s="16"/>
      <c r="Y12" s="14"/>
      <c r="Z12" s="16"/>
      <c r="AA12" s="14"/>
      <c r="AB12" s="14"/>
      <c r="AC12" s="14"/>
      <c r="AF12" s="16"/>
      <c r="AG12" s="14"/>
      <c r="AH12" s="16"/>
      <c r="AI12" s="14"/>
      <c r="AJ12" s="14"/>
      <c r="AN12" s="16"/>
      <c r="AO12" s="14"/>
      <c r="AP12" s="16"/>
      <c r="AQ12" s="14"/>
      <c r="AR12" s="14"/>
      <c r="AV12" s="16"/>
      <c r="AW12" s="14"/>
      <c r="AX12" s="16"/>
      <c r="AY12" s="14"/>
      <c r="AZ12" s="14"/>
      <c r="BD12" s="16"/>
      <c r="BE12" s="14"/>
      <c r="BF12" s="16"/>
      <c r="BG12" s="14"/>
      <c r="BH12" s="14"/>
      <c r="BL12" s="16"/>
      <c r="BM12" s="14"/>
      <c r="BN12" s="16"/>
      <c r="BO12" s="14"/>
      <c r="BP12" s="14"/>
      <c r="BT12" s="16"/>
      <c r="BU12" s="14"/>
      <c r="BV12" s="16"/>
      <c r="BW12" s="14"/>
      <c r="BX12" s="14"/>
      <c r="CB12" s="16"/>
      <c r="CC12" s="14"/>
      <c r="CD12" s="16"/>
      <c r="CE12" s="14"/>
      <c r="CF12" s="14"/>
      <c r="CJ12" s="16"/>
      <c r="CK12" s="14"/>
      <c r="CL12" s="16"/>
      <c r="CM12" s="14"/>
      <c r="CN12" s="14"/>
      <c r="CR12" s="16"/>
      <c r="CS12" s="14"/>
      <c r="CT12" s="16"/>
      <c r="CU12" s="14"/>
      <c r="CV12" s="14"/>
    </row>
    <row r="13" spans="1:102" ht="16.2" thickBot="1" x14ac:dyDescent="0.35">
      <c r="B13" s="208" t="s">
        <v>43</v>
      </c>
      <c r="C13" s="209"/>
      <c r="D13" s="29" t="e">
        <f>IF(SUM(D14:D21)&lt;&gt;"",SUM(D14:D21),"")</f>
        <v>#DIV/0!</v>
      </c>
      <c r="E13" s="127">
        <f>IF(SUM(E14:E21)&lt;&gt;"",SUM(E14:E21),"")</f>
        <v>0</v>
      </c>
      <c r="F13" s="54">
        <f>IF(SUM(F14:F21)&lt;&gt;"",SUM(F14:F21),"")</f>
        <v>0</v>
      </c>
      <c r="H13" s="29" t="str">
        <f>IF(SUM(H14:H21)&lt;&gt;0,SUM(H14:H21),"")</f>
        <v/>
      </c>
      <c r="J13" s="29" t="str">
        <f>IF(SUM(J14:J21)&lt;&gt;0,SUM(J14:J21),"")</f>
        <v/>
      </c>
      <c r="L13" s="53" t="str">
        <f>IF(J13&lt;&gt;"",J13/J$7,"")</f>
        <v/>
      </c>
      <c r="N13" s="30" t="str">
        <f>IF(J13&lt;&gt;"",(J13/$D13)-1,"")</f>
        <v/>
      </c>
      <c r="P13" s="29" t="str">
        <f>IF(SUM(P14:P21)&lt;&gt;0,SUM(P14:P21),"")</f>
        <v/>
      </c>
      <c r="Q13" s="14"/>
      <c r="R13" s="29" t="str">
        <f>IF(SUM(R14:R21)&lt;&gt;0,SUM(R14:R21),"")</f>
        <v/>
      </c>
      <c r="S13" s="14"/>
      <c r="T13" s="53" t="str">
        <f>IF(R13&lt;&gt;"",R13/R$7,"")</f>
        <v/>
      </c>
      <c r="V13" s="30" t="str">
        <f>IF(R13&lt;&gt;"",(R13/$D13)-1,"")</f>
        <v/>
      </c>
      <c r="X13" s="29" t="str">
        <f>IF(SUM(X14:X21)&lt;&gt;0,SUM(X14:X21),"")</f>
        <v/>
      </c>
      <c r="Y13" s="14"/>
      <c r="Z13" s="29" t="str">
        <f>IF(SUM(Z14:Z21)&lt;&gt;0,SUM(Z14:Z21),"")</f>
        <v/>
      </c>
      <c r="AA13" s="14"/>
      <c r="AB13" s="53" t="str">
        <f>IF(Z13&lt;&gt;"",Z13/Z$7,"")</f>
        <v/>
      </c>
      <c r="AC13" s="14"/>
      <c r="AD13" s="53" t="str">
        <f>IF(Z13&lt;&gt;"",(Z13/X13)-1,"")</f>
        <v/>
      </c>
      <c r="AF13" s="29" t="str">
        <f>IF(SUM(AF14:AF21)&lt;&gt;0,SUM(AF14:AF21),"")</f>
        <v/>
      </c>
      <c r="AG13" s="14"/>
      <c r="AH13" s="29" t="str">
        <f>IF(SUM(AH14:AH21)&lt;&gt;0,SUM(AH14:AH21),"")</f>
        <v/>
      </c>
      <c r="AI13" s="14"/>
      <c r="AJ13" s="53" t="str">
        <f>IF(AH13&lt;&gt;"",AH13/AH$7,"")</f>
        <v/>
      </c>
      <c r="AL13" s="53" t="str">
        <f>IF(AH13&lt;&gt;"",(AH13/AF13)-1,"")</f>
        <v/>
      </c>
      <c r="AN13" s="29" t="str">
        <f>IF(SUM(AN14:AN21)&lt;&gt;0,SUM(AN14:AN21),"")</f>
        <v/>
      </c>
      <c r="AO13" s="14"/>
      <c r="AP13" s="29" t="str">
        <f>IF(SUM(AP14:AP21)&lt;&gt;0,SUM(AP14:AP21),"")</f>
        <v/>
      </c>
      <c r="AQ13" s="14"/>
      <c r="AR13" s="53" t="str">
        <f>IF(AP13&lt;&gt;"",AP13/AP$7,"")</f>
        <v/>
      </c>
      <c r="AT13" s="53" t="str">
        <f>IF(AP13&lt;&gt;"",(AP13/AN13)-1,"")</f>
        <v/>
      </c>
      <c r="AV13" s="29" t="str">
        <f>IF(SUM(AV14:AV21)&lt;&gt;0,SUM(AV14:AV21),"")</f>
        <v/>
      </c>
      <c r="AW13" s="14"/>
      <c r="AX13" s="29" t="str">
        <f>IF(SUM(AX14:AX21)&lt;&gt;0,SUM(AX14:AX21),"")</f>
        <v/>
      </c>
      <c r="AY13" s="14"/>
      <c r="AZ13" s="53" t="str">
        <f>IF(AX13&lt;&gt;"",AX13/AX$7,"")</f>
        <v/>
      </c>
      <c r="BB13" s="53" t="str">
        <f>IF(AX13&lt;&gt;"",(AX13/AV13)-1,"")</f>
        <v/>
      </c>
      <c r="BD13" s="29" t="str">
        <f>IF(SUM(BD14:BD21)&lt;&gt;0,SUM(BD14:BD21),"")</f>
        <v/>
      </c>
      <c r="BE13" s="14"/>
      <c r="BF13" s="29" t="str">
        <f>IF(SUM(BF14:BF21)&lt;&gt;0,SUM(BF14:BF21),"")</f>
        <v/>
      </c>
      <c r="BG13" s="14"/>
      <c r="BH13" s="53" t="str">
        <f>IF(BF13&lt;&gt;"",BF13/BF$7,"")</f>
        <v/>
      </c>
      <c r="BJ13" s="53" t="str">
        <f>IF(BF13&lt;&gt;"",(BF13/BD13)-1,"")</f>
        <v/>
      </c>
      <c r="BL13" s="29" t="str">
        <f>IF(SUM(BL14:BL21)&lt;&gt;0,SUM(BL14:BL21),"")</f>
        <v/>
      </c>
      <c r="BM13" s="14"/>
      <c r="BN13" s="29" t="str">
        <f>IF(SUM(BN14:BN21)&lt;&gt;0,SUM(BN14:BN21),"")</f>
        <v/>
      </c>
      <c r="BO13" s="14"/>
      <c r="BP13" s="53" t="str">
        <f>IF(BN13&lt;&gt;"",BN13/BN$7,"")</f>
        <v/>
      </c>
      <c r="BR13" s="53" t="str">
        <f>IF(BN13&lt;&gt;"",(BN13/BL13)-1,"")</f>
        <v/>
      </c>
      <c r="BT13" s="29" t="str">
        <f>IF(SUM(BT14:BT21)&lt;&gt;0,SUM(BT14:BT21),"")</f>
        <v/>
      </c>
      <c r="BU13" s="14"/>
      <c r="BV13" s="29" t="str">
        <f>IF(SUM(BV14:BV21)&lt;&gt;0,SUM(BV14:BV21),"")</f>
        <v/>
      </c>
      <c r="BW13" s="14"/>
      <c r="BX13" s="53" t="str">
        <f>IF(BV13&lt;&gt;"",BV13/BV$7,"")</f>
        <v/>
      </c>
      <c r="BZ13" s="53" t="str">
        <f>IF(BV13&lt;&gt;"",(BV13/BT13)-1,"")</f>
        <v/>
      </c>
      <c r="CB13" s="29" t="str">
        <f>IF(SUM(CB14:CB21)&lt;&gt;0,SUM(CB14:CB21),"")</f>
        <v/>
      </c>
      <c r="CC13" s="14"/>
      <c r="CD13" s="29" t="str">
        <f>IF(SUM(CD14:CD21)&lt;&gt;0,SUM(CD14:CD21),"")</f>
        <v/>
      </c>
      <c r="CE13" s="14"/>
      <c r="CF13" s="53" t="str">
        <f>IF(CD13&lt;&gt;"",CD13/CD$7,"")</f>
        <v/>
      </c>
      <c r="CH13" s="53" t="str">
        <f>IF(CD13&lt;&gt;"",(CD13/CB13)-1,"")</f>
        <v/>
      </c>
      <c r="CJ13" s="29" t="str">
        <f>IF(SUM(CJ14:CJ21)&lt;&gt;0,SUM(CJ14:CJ21),"")</f>
        <v/>
      </c>
      <c r="CK13" s="14"/>
      <c r="CL13" s="29" t="str">
        <f>IF(SUM(CL14:CL21)&lt;&gt;0,SUM(CL14:CL21),"")</f>
        <v/>
      </c>
      <c r="CM13" s="14"/>
      <c r="CN13" s="53" t="str">
        <f>IF(CL13&lt;&gt;"",CL13/CL$7,"")</f>
        <v/>
      </c>
      <c r="CP13" s="53" t="str">
        <f>IF(CL13&lt;&gt;"",(CL13/CJ13)-1,"")</f>
        <v/>
      </c>
      <c r="CR13" s="29" t="str">
        <f>IF(SUM(CR14:CR21)&lt;&gt;0,SUM(CR14:CR21),"")</f>
        <v/>
      </c>
      <c r="CS13" s="14"/>
      <c r="CT13" s="29" t="str">
        <f>IF(SUM(CT14:CT21)&lt;&gt;0,SUM(CT14:CT21),"")</f>
        <v/>
      </c>
      <c r="CU13" s="14"/>
      <c r="CV13" s="53" t="str">
        <f>IF(CT13&lt;&gt;"",CT13/CT$7,"")</f>
        <v/>
      </c>
      <c r="CX13" s="53" t="str">
        <f>IF(CT13&lt;&gt;"",(CT13/CR13)-1,"")</f>
        <v/>
      </c>
    </row>
    <row r="14" spans="1:102" ht="15.6" x14ac:dyDescent="0.3">
      <c r="A14" s="112"/>
      <c r="B14" s="49"/>
      <c r="C14" s="20" t="s">
        <v>143</v>
      </c>
      <c r="D14" s="70" t="e">
        <f>IF(AVERAGE(J14,R14,Z14,AH14,AP14,AX14,BF14,BN14,BV14,CD14,CL14,CT14)&lt;&gt;"",AVERAGE(J14,R14,Z14,AH14,AP14,AX14,BF14,BN14,BV14,CD14,CL14,CT14),"")</f>
        <v>#DIV/0!</v>
      </c>
      <c r="E14" s="130">
        <f>IF(SUM(J14,R14,Z14,AH14,AP14,AX14,BF14,BN14,BV14,CD14,CL14,CT14)&lt;&gt;"",SUM(J14,R14,Z14,AH14,AP14,AX14,BF14,BN14,BV14,CD14,CL14,CT14),"")</f>
        <v>0</v>
      </c>
      <c r="F14" s="73" t="str">
        <f t="shared" ref="F14:F20" si="0">IF(E14&lt;&gt;0,E14/E$7,"")</f>
        <v/>
      </c>
      <c r="H14" s="55"/>
      <c r="J14" s="141"/>
      <c r="L14" s="28" t="str">
        <f>IF(J14&lt;&gt;"",J14/J$7,"")</f>
        <v/>
      </c>
      <c r="N14" s="90" t="str">
        <f t="shared" ref="N14" si="1">IF(J14&lt;&gt;0,(J14/D14)-1,"")</f>
        <v/>
      </c>
      <c r="P14" s="55"/>
      <c r="Q14" s="14"/>
      <c r="R14" s="141"/>
      <c r="S14" s="14"/>
      <c r="T14" s="28" t="str">
        <f>IF(R14&lt;&gt;"",R14/R$7,"")</f>
        <v/>
      </c>
      <c r="V14" s="90" t="str">
        <f t="shared" ref="V14:V16" si="2">IF(R14&lt;&gt;0,(R14/P14)-1,"")</f>
        <v/>
      </c>
      <c r="X14" s="55"/>
      <c r="Y14" s="14"/>
      <c r="Z14" s="141"/>
      <c r="AA14" s="14"/>
      <c r="AB14" s="28" t="str">
        <f>IF(Z14&lt;&gt;"",Z14/Z$7,"")</f>
        <v/>
      </c>
      <c r="AC14" s="14"/>
      <c r="AD14" s="90" t="str">
        <f t="shared" ref="AD14:AD16" si="3">IF(Z14&lt;&gt;0,(Z14/X14)-1,"")</f>
        <v/>
      </c>
      <c r="AF14" s="55"/>
      <c r="AG14" s="14"/>
      <c r="AH14" s="141"/>
      <c r="AI14" s="14"/>
      <c r="AJ14" s="28" t="str">
        <f>IF(AH14&lt;&gt;"",AH14/AH$7,"")</f>
        <v/>
      </c>
      <c r="AL14" s="90" t="str">
        <f t="shared" ref="AL14:AL16" si="4">IF(AH14&lt;&gt;0,(AH14/AF14)-1,"")</f>
        <v/>
      </c>
      <c r="AN14" s="55"/>
      <c r="AO14" s="14"/>
      <c r="AP14" s="141"/>
      <c r="AQ14" s="14"/>
      <c r="AR14" s="28" t="str">
        <f>IF(AP14&lt;&gt;"",AP14/AP$7,"")</f>
        <v/>
      </c>
      <c r="AT14" s="90" t="str">
        <f t="shared" ref="AT14:AT16" si="5">IF(AP14&lt;&gt;0,(AP14/AN14)-1,"")</f>
        <v/>
      </c>
      <c r="AV14" s="55"/>
      <c r="AW14" s="14"/>
      <c r="AX14" s="141"/>
      <c r="AY14" s="14"/>
      <c r="AZ14" s="28" t="str">
        <f>IF(AX14&lt;&gt;"",AX14/AX$7,"")</f>
        <v/>
      </c>
      <c r="BB14" s="90" t="str">
        <f t="shared" ref="BB14:BB16" si="6">IF(AX14&lt;&gt;0,(AX14/AV14)-1,"")</f>
        <v/>
      </c>
      <c r="BD14" s="55"/>
      <c r="BE14" s="14"/>
      <c r="BF14" s="141"/>
      <c r="BG14" s="14"/>
      <c r="BH14" s="28" t="str">
        <f>IF(BF14&lt;&gt;"",BF14/BF$7,"")</f>
        <v/>
      </c>
      <c r="BJ14" s="90" t="str">
        <f t="shared" ref="BJ14:BJ16" si="7">IF(BF14&lt;&gt;0,(BF14/BD14)-1,"")</f>
        <v/>
      </c>
      <c r="BL14" s="55"/>
      <c r="BM14" s="14"/>
      <c r="BN14" s="141"/>
      <c r="BO14" s="14"/>
      <c r="BP14" s="28" t="str">
        <f>IF(BN14&lt;&gt;"",BN14/BN$7,"")</f>
        <v/>
      </c>
      <c r="BR14" s="90" t="str">
        <f t="shared" ref="BR14:BR16" si="8">IF(BN14&lt;&gt;0,(BN14/BL14)-1,"")</f>
        <v/>
      </c>
      <c r="BT14" s="55"/>
      <c r="BU14" s="14"/>
      <c r="BV14" s="141"/>
      <c r="BW14" s="14"/>
      <c r="BX14" s="28" t="str">
        <f>IF(BV14&lt;&gt;"",BV14/BV$7,"")</f>
        <v/>
      </c>
      <c r="BZ14" s="90" t="str">
        <f t="shared" ref="BZ14:BZ16" si="9">IF(BV14&lt;&gt;0,(BV14/BT14)-1,"")</f>
        <v/>
      </c>
      <c r="CB14" s="55"/>
      <c r="CC14" s="14"/>
      <c r="CD14" s="141"/>
      <c r="CE14" s="14"/>
      <c r="CF14" s="28" t="str">
        <f>IF(CD14&lt;&gt;"",CD14/CD$7,"")</f>
        <v/>
      </c>
      <c r="CH14" s="90" t="str">
        <f t="shared" ref="CH14:CH16" si="10">IF(CD14&lt;&gt;0,(CD14/CB14)-1,"")</f>
        <v/>
      </c>
      <c r="CJ14" s="55"/>
      <c r="CK14" s="14"/>
      <c r="CL14" s="141"/>
      <c r="CM14" s="14"/>
      <c r="CN14" s="28" t="str">
        <f>IF(CL14&lt;&gt;"",CL14/CL$7,"")</f>
        <v/>
      </c>
      <c r="CP14" s="90" t="str">
        <f t="shared" ref="CP14:CP16" si="11">IF(CL14&lt;&gt;0,(CL14/CJ14)-1,"")</f>
        <v/>
      </c>
      <c r="CR14" s="55"/>
      <c r="CS14" s="14"/>
      <c r="CT14" s="141"/>
      <c r="CU14" s="14"/>
      <c r="CV14" s="28" t="str">
        <f>IF(CT14&lt;&gt;"",CT14/CT$7,"")</f>
        <v/>
      </c>
      <c r="CX14" s="90" t="str">
        <f t="shared" ref="CX14:CX16" si="12">IF(CT14&lt;&gt;0,(CT14/CR14)-1,"")</f>
        <v/>
      </c>
    </row>
    <row r="15" spans="1:102" ht="15.6" x14ac:dyDescent="0.3">
      <c r="B15" s="47"/>
      <c r="C15" s="110" t="s">
        <v>131</v>
      </c>
      <c r="D15" s="70" t="e">
        <f t="shared" ref="D15:D20" si="13">IF(AVERAGE(J15,R15,Z15,AH15,AP15,AX15,BF15,BN15,BV15,CD15,CL15,CT15)&lt;&gt;"",AVERAGE(J15,R15,Z15,AH15,AP15,AX15,BF15,BN15,BV15,CD15,CL15,CT15),"")</f>
        <v>#DIV/0!</v>
      </c>
      <c r="E15" s="130">
        <f t="shared" ref="E15:E20" si="14">IF(SUM(J15,R15,Z15,AH15,AP15,AX15,BF15,BN15,BV15,CD15,CL15,CT15)&lt;&gt;"",SUM(J15,R15,Z15,AH15,AP15,AX15,BF15,BN15,BV15,CD15,CL15,CT15),"")</f>
        <v>0</v>
      </c>
      <c r="F15" s="73" t="str">
        <f t="shared" si="0"/>
        <v/>
      </c>
      <c r="H15" s="91"/>
      <c r="J15" s="142"/>
      <c r="L15" s="28" t="str">
        <f t="shared" ref="L15:L20" si="15">IF(J15&lt;&gt;"",J15/J$7,"")</f>
        <v/>
      </c>
      <c r="N15" s="90" t="str">
        <f t="shared" ref="N15:N20" si="16">IF(J15&lt;&gt;0,(J15/D15)-1,"")</f>
        <v/>
      </c>
      <c r="P15" s="91"/>
      <c r="Q15" s="14"/>
      <c r="R15" s="142"/>
      <c r="S15" s="14"/>
      <c r="T15" s="28" t="str">
        <f t="shared" ref="T15:T20" si="17">IF(R15&lt;&gt;"",R15/R$7,"")</f>
        <v/>
      </c>
      <c r="V15" s="90" t="str">
        <f t="shared" si="2"/>
        <v/>
      </c>
      <c r="X15" s="91"/>
      <c r="Y15" s="14"/>
      <c r="Z15" s="142"/>
      <c r="AA15" s="14"/>
      <c r="AB15" s="28" t="str">
        <f t="shared" ref="AB15:AB20" si="18">IF(Z15&lt;&gt;"",Z15/Z$7,"")</f>
        <v/>
      </c>
      <c r="AC15" s="14"/>
      <c r="AD15" s="90" t="str">
        <f t="shared" si="3"/>
        <v/>
      </c>
      <c r="AF15" s="91"/>
      <c r="AG15" s="14"/>
      <c r="AH15" s="142"/>
      <c r="AI15" s="14"/>
      <c r="AJ15" s="28" t="str">
        <f t="shared" ref="AJ15:AJ20" si="19">IF(AH15&lt;&gt;"",AH15/AH$7,"")</f>
        <v/>
      </c>
      <c r="AL15" s="90" t="str">
        <f t="shared" si="4"/>
        <v/>
      </c>
      <c r="AN15" s="91"/>
      <c r="AO15" s="14"/>
      <c r="AP15" s="142"/>
      <c r="AQ15" s="14"/>
      <c r="AR15" s="28" t="str">
        <f t="shared" ref="AR15:AR20" si="20">IF(AP15&lt;&gt;"",AP15/AP$7,"")</f>
        <v/>
      </c>
      <c r="AT15" s="90" t="str">
        <f t="shared" si="5"/>
        <v/>
      </c>
      <c r="AV15" s="91"/>
      <c r="AW15" s="14"/>
      <c r="AX15" s="142"/>
      <c r="AY15" s="14"/>
      <c r="AZ15" s="28" t="str">
        <f t="shared" ref="AZ15:AZ20" si="21">IF(AX15&lt;&gt;"",AX15/AX$7,"")</f>
        <v/>
      </c>
      <c r="BB15" s="90" t="str">
        <f t="shared" si="6"/>
        <v/>
      </c>
      <c r="BD15" s="91"/>
      <c r="BE15" s="14"/>
      <c r="BF15" s="142"/>
      <c r="BG15" s="14"/>
      <c r="BH15" s="28" t="str">
        <f t="shared" ref="BH15:BH20" si="22">IF(BF15&lt;&gt;"",BF15/BF$7,"")</f>
        <v/>
      </c>
      <c r="BJ15" s="90" t="str">
        <f t="shared" si="7"/>
        <v/>
      </c>
      <c r="BL15" s="91"/>
      <c r="BM15" s="14"/>
      <c r="BN15" s="142"/>
      <c r="BO15" s="14"/>
      <c r="BP15" s="28" t="str">
        <f t="shared" ref="BP15:BP20" si="23">IF(BN15&lt;&gt;"",BN15/BN$7,"")</f>
        <v/>
      </c>
      <c r="BR15" s="90" t="str">
        <f t="shared" si="8"/>
        <v/>
      </c>
      <c r="BT15" s="91"/>
      <c r="BU15" s="14"/>
      <c r="BV15" s="142"/>
      <c r="BW15" s="14"/>
      <c r="BX15" s="28" t="str">
        <f t="shared" ref="BX15:BX20" si="24">IF(BV15&lt;&gt;"",BV15/BV$7,"")</f>
        <v/>
      </c>
      <c r="BZ15" s="90" t="str">
        <f t="shared" si="9"/>
        <v/>
      </c>
      <c r="CB15" s="91"/>
      <c r="CC15" s="14"/>
      <c r="CD15" s="142"/>
      <c r="CE15" s="14"/>
      <c r="CF15" s="28" t="str">
        <f t="shared" ref="CF15:CF20" si="25">IF(CD15&lt;&gt;"",CD15/CD$7,"")</f>
        <v/>
      </c>
      <c r="CH15" s="90" t="str">
        <f t="shared" si="10"/>
        <v/>
      </c>
      <c r="CJ15" s="91"/>
      <c r="CK15" s="14"/>
      <c r="CL15" s="142"/>
      <c r="CM15" s="14"/>
      <c r="CN15" s="28" t="str">
        <f t="shared" ref="CN15:CN20" si="26">IF(CL15&lt;&gt;"",CL15/CL$7,"")</f>
        <v/>
      </c>
      <c r="CP15" s="90" t="str">
        <f t="shared" si="11"/>
        <v/>
      </c>
      <c r="CR15" s="91"/>
      <c r="CS15" s="14"/>
      <c r="CT15" s="142"/>
      <c r="CU15" s="14"/>
      <c r="CV15" s="28" t="str">
        <f t="shared" ref="CV15:CV20" si="27">IF(CT15&lt;&gt;"",CT15/CT$7,"")</f>
        <v/>
      </c>
      <c r="CX15" s="90" t="str">
        <f t="shared" si="12"/>
        <v/>
      </c>
    </row>
    <row r="16" spans="1:102" ht="15.6" x14ac:dyDescent="0.3">
      <c r="B16" s="49"/>
      <c r="C16" s="21" t="s">
        <v>15</v>
      </c>
      <c r="D16" s="70" t="e">
        <f t="shared" si="13"/>
        <v>#DIV/0!</v>
      </c>
      <c r="E16" s="130">
        <f t="shared" si="14"/>
        <v>0</v>
      </c>
      <c r="F16" s="73" t="str">
        <f t="shared" si="0"/>
        <v/>
      </c>
      <c r="H16" s="55"/>
      <c r="J16" s="141"/>
      <c r="L16" s="28" t="str">
        <f t="shared" si="15"/>
        <v/>
      </c>
      <c r="N16" s="90" t="str">
        <f t="shared" si="16"/>
        <v/>
      </c>
      <c r="P16" s="55"/>
      <c r="Q16" s="14"/>
      <c r="R16" s="141"/>
      <c r="S16" s="14"/>
      <c r="T16" s="28" t="str">
        <f t="shared" si="17"/>
        <v/>
      </c>
      <c r="V16" s="90" t="str">
        <f t="shared" si="2"/>
        <v/>
      </c>
      <c r="X16" s="55"/>
      <c r="Y16" s="14"/>
      <c r="Z16" s="141"/>
      <c r="AA16" s="14"/>
      <c r="AB16" s="28" t="str">
        <f t="shared" si="18"/>
        <v/>
      </c>
      <c r="AC16" s="14"/>
      <c r="AD16" s="90" t="str">
        <f t="shared" si="3"/>
        <v/>
      </c>
      <c r="AF16" s="55"/>
      <c r="AG16" s="14"/>
      <c r="AH16" s="141"/>
      <c r="AI16" s="14"/>
      <c r="AJ16" s="28" t="str">
        <f t="shared" si="19"/>
        <v/>
      </c>
      <c r="AL16" s="90" t="str">
        <f t="shared" si="4"/>
        <v/>
      </c>
      <c r="AN16" s="55"/>
      <c r="AO16" s="14"/>
      <c r="AP16" s="141"/>
      <c r="AQ16" s="14"/>
      <c r="AR16" s="28" t="str">
        <f t="shared" si="20"/>
        <v/>
      </c>
      <c r="AT16" s="90" t="str">
        <f t="shared" si="5"/>
        <v/>
      </c>
      <c r="AV16" s="55"/>
      <c r="AW16" s="14"/>
      <c r="AX16" s="141"/>
      <c r="AY16" s="14"/>
      <c r="AZ16" s="28" t="str">
        <f t="shared" si="21"/>
        <v/>
      </c>
      <c r="BB16" s="90" t="str">
        <f t="shared" si="6"/>
        <v/>
      </c>
      <c r="BD16" s="55"/>
      <c r="BE16" s="14"/>
      <c r="BF16" s="141"/>
      <c r="BG16" s="14"/>
      <c r="BH16" s="28" t="str">
        <f t="shared" si="22"/>
        <v/>
      </c>
      <c r="BJ16" s="90" t="str">
        <f t="shared" si="7"/>
        <v/>
      </c>
      <c r="BL16" s="55"/>
      <c r="BM16" s="14"/>
      <c r="BN16" s="141"/>
      <c r="BO16" s="14"/>
      <c r="BP16" s="28" t="str">
        <f t="shared" si="23"/>
        <v/>
      </c>
      <c r="BR16" s="90" t="str">
        <f t="shared" si="8"/>
        <v/>
      </c>
      <c r="BT16" s="55"/>
      <c r="BU16" s="14"/>
      <c r="BV16" s="141"/>
      <c r="BW16" s="14"/>
      <c r="BX16" s="28" t="str">
        <f t="shared" si="24"/>
        <v/>
      </c>
      <c r="BZ16" s="90" t="str">
        <f t="shared" si="9"/>
        <v/>
      </c>
      <c r="CB16" s="55"/>
      <c r="CC16" s="14"/>
      <c r="CD16" s="141"/>
      <c r="CE16" s="14"/>
      <c r="CF16" s="28" t="str">
        <f t="shared" si="25"/>
        <v/>
      </c>
      <c r="CH16" s="90" t="str">
        <f t="shared" si="10"/>
        <v/>
      </c>
      <c r="CJ16" s="55"/>
      <c r="CK16" s="14"/>
      <c r="CL16" s="141"/>
      <c r="CM16" s="14"/>
      <c r="CN16" s="28" t="str">
        <f t="shared" si="26"/>
        <v/>
      </c>
      <c r="CP16" s="90" t="str">
        <f t="shared" si="11"/>
        <v/>
      </c>
      <c r="CR16" s="55"/>
      <c r="CS16" s="14"/>
      <c r="CT16" s="141"/>
      <c r="CU16" s="14"/>
      <c r="CV16" s="28" t="str">
        <f t="shared" si="27"/>
        <v/>
      </c>
      <c r="CX16" s="90" t="str">
        <f t="shared" si="12"/>
        <v/>
      </c>
    </row>
    <row r="17" spans="1:102" ht="15.6" x14ac:dyDescent="0.3">
      <c r="B17" s="49"/>
      <c r="C17" s="21" t="s">
        <v>123</v>
      </c>
      <c r="D17" s="70" t="e">
        <f t="shared" si="13"/>
        <v>#DIV/0!</v>
      </c>
      <c r="E17" s="130">
        <f t="shared" si="14"/>
        <v>0</v>
      </c>
      <c r="F17" s="73" t="str">
        <f t="shared" si="0"/>
        <v/>
      </c>
      <c r="H17" s="55"/>
      <c r="J17" s="141"/>
      <c r="L17" s="28" t="str">
        <f t="shared" si="15"/>
        <v/>
      </c>
      <c r="N17" s="90" t="str">
        <f t="shared" si="16"/>
        <v/>
      </c>
      <c r="P17" s="55"/>
      <c r="Q17" s="14"/>
      <c r="R17" s="141"/>
      <c r="S17" s="14"/>
      <c r="T17" s="28" t="str">
        <f t="shared" si="17"/>
        <v/>
      </c>
      <c r="V17" s="90"/>
      <c r="X17" s="55"/>
      <c r="Y17" s="14"/>
      <c r="Z17" s="141"/>
      <c r="AA17" s="14"/>
      <c r="AB17" s="28" t="str">
        <f t="shared" si="18"/>
        <v/>
      </c>
      <c r="AC17" s="14"/>
      <c r="AD17" s="90"/>
      <c r="AF17" s="55"/>
      <c r="AG17" s="14"/>
      <c r="AH17" s="141"/>
      <c r="AI17" s="14"/>
      <c r="AJ17" s="28" t="str">
        <f t="shared" si="19"/>
        <v/>
      </c>
      <c r="AL17" s="90"/>
      <c r="AN17" s="55"/>
      <c r="AO17" s="14"/>
      <c r="AP17" s="141"/>
      <c r="AQ17" s="14"/>
      <c r="AR17" s="28" t="str">
        <f t="shared" si="20"/>
        <v/>
      </c>
      <c r="AT17" s="90"/>
      <c r="AV17" s="55"/>
      <c r="AW17" s="14"/>
      <c r="AX17" s="141"/>
      <c r="AY17" s="14"/>
      <c r="AZ17" s="28" t="str">
        <f t="shared" si="21"/>
        <v/>
      </c>
      <c r="BB17" s="90"/>
      <c r="BD17" s="55"/>
      <c r="BE17" s="14"/>
      <c r="BF17" s="141"/>
      <c r="BG17" s="14"/>
      <c r="BH17" s="28" t="str">
        <f t="shared" si="22"/>
        <v/>
      </c>
      <c r="BJ17" s="90"/>
      <c r="BL17" s="55"/>
      <c r="BM17" s="14"/>
      <c r="BN17" s="141"/>
      <c r="BO17" s="14"/>
      <c r="BP17" s="28" t="str">
        <f t="shared" si="23"/>
        <v/>
      </c>
      <c r="BR17" s="90"/>
      <c r="BT17" s="55"/>
      <c r="BU17" s="14"/>
      <c r="BV17" s="141"/>
      <c r="BW17" s="14"/>
      <c r="BX17" s="28" t="str">
        <f t="shared" si="24"/>
        <v/>
      </c>
      <c r="BZ17" s="90"/>
      <c r="CB17" s="55"/>
      <c r="CC17" s="14"/>
      <c r="CD17" s="141"/>
      <c r="CE17" s="14"/>
      <c r="CF17" s="28" t="str">
        <f t="shared" si="25"/>
        <v/>
      </c>
      <c r="CH17" s="90"/>
      <c r="CJ17" s="55"/>
      <c r="CK17" s="14"/>
      <c r="CL17" s="141"/>
      <c r="CM17" s="14"/>
      <c r="CN17" s="28" t="str">
        <f t="shared" si="26"/>
        <v/>
      </c>
      <c r="CP17" s="90"/>
      <c r="CR17" s="55"/>
      <c r="CS17" s="14"/>
      <c r="CT17" s="141"/>
      <c r="CU17" s="14"/>
      <c r="CV17" s="28" t="str">
        <f t="shared" si="27"/>
        <v/>
      </c>
      <c r="CX17" s="90"/>
    </row>
    <row r="18" spans="1:102" ht="15.6" x14ac:dyDescent="0.3">
      <c r="B18" s="49"/>
      <c r="C18" s="21" t="s">
        <v>109</v>
      </c>
      <c r="D18" s="70" t="e">
        <f t="shared" si="13"/>
        <v>#DIV/0!</v>
      </c>
      <c r="E18" s="130">
        <f t="shared" si="14"/>
        <v>0</v>
      </c>
      <c r="F18" s="73" t="str">
        <f t="shared" si="0"/>
        <v/>
      </c>
      <c r="H18" s="55"/>
      <c r="J18" s="141"/>
      <c r="L18" s="28" t="str">
        <f t="shared" si="15"/>
        <v/>
      </c>
      <c r="N18" s="90" t="str">
        <f t="shared" si="16"/>
        <v/>
      </c>
      <c r="P18" s="55"/>
      <c r="Q18" s="14"/>
      <c r="R18" s="141"/>
      <c r="S18" s="14"/>
      <c r="T18" s="28" t="str">
        <f t="shared" si="17"/>
        <v/>
      </c>
      <c r="V18" s="90"/>
      <c r="X18" s="55"/>
      <c r="Y18" s="14"/>
      <c r="Z18" s="141"/>
      <c r="AA18" s="14"/>
      <c r="AB18" s="28" t="str">
        <f t="shared" si="18"/>
        <v/>
      </c>
      <c r="AC18" s="14"/>
      <c r="AD18" s="90"/>
      <c r="AF18" s="55"/>
      <c r="AG18" s="14"/>
      <c r="AH18" s="141"/>
      <c r="AI18" s="14"/>
      <c r="AJ18" s="28" t="str">
        <f t="shared" si="19"/>
        <v/>
      </c>
      <c r="AL18" s="90"/>
      <c r="AN18" s="55"/>
      <c r="AO18" s="14"/>
      <c r="AP18" s="141"/>
      <c r="AQ18" s="14"/>
      <c r="AR18" s="28" t="str">
        <f t="shared" si="20"/>
        <v/>
      </c>
      <c r="AT18" s="90"/>
      <c r="AV18" s="55"/>
      <c r="AW18" s="14"/>
      <c r="AX18" s="141"/>
      <c r="AY18" s="14"/>
      <c r="AZ18" s="28" t="str">
        <f t="shared" si="21"/>
        <v/>
      </c>
      <c r="BB18" s="90"/>
      <c r="BD18" s="55"/>
      <c r="BE18" s="14"/>
      <c r="BF18" s="141"/>
      <c r="BG18" s="14"/>
      <c r="BH18" s="28" t="str">
        <f t="shared" si="22"/>
        <v/>
      </c>
      <c r="BJ18" s="90"/>
      <c r="BL18" s="55"/>
      <c r="BM18" s="14"/>
      <c r="BN18" s="141"/>
      <c r="BO18" s="14"/>
      <c r="BP18" s="28" t="str">
        <f t="shared" si="23"/>
        <v/>
      </c>
      <c r="BR18" s="90"/>
      <c r="BT18" s="55"/>
      <c r="BU18" s="14"/>
      <c r="BV18" s="141"/>
      <c r="BW18" s="14"/>
      <c r="BX18" s="28" t="str">
        <f t="shared" si="24"/>
        <v/>
      </c>
      <c r="BZ18" s="90"/>
      <c r="CB18" s="55"/>
      <c r="CC18" s="14"/>
      <c r="CD18" s="141"/>
      <c r="CE18" s="14"/>
      <c r="CF18" s="28" t="str">
        <f t="shared" si="25"/>
        <v/>
      </c>
      <c r="CH18" s="90"/>
      <c r="CJ18" s="55"/>
      <c r="CK18" s="14"/>
      <c r="CL18" s="141"/>
      <c r="CM18" s="14"/>
      <c r="CN18" s="28" t="str">
        <f t="shared" si="26"/>
        <v/>
      </c>
      <c r="CP18" s="90"/>
      <c r="CR18" s="55"/>
      <c r="CS18" s="14"/>
      <c r="CT18" s="141"/>
      <c r="CU18" s="14"/>
      <c r="CV18" s="28" t="str">
        <f t="shared" si="27"/>
        <v/>
      </c>
      <c r="CX18" s="90"/>
    </row>
    <row r="19" spans="1:102" ht="15.6" x14ac:dyDescent="0.3">
      <c r="B19" s="49"/>
      <c r="C19" s="21" t="s">
        <v>110</v>
      </c>
      <c r="D19" s="70" t="e">
        <f t="shared" si="13"/>
        <v>#DIV/0!</v>
      </c>
      <c r="E19" s="130">
        <f t="shared" si="14"/>
        <v>0</v>
      </c>
      <c r="F19" s="73" t="str">
        <f t="shared" si="0"/>
        <v/>
      </c>
      <c r="H19" s="55"/>
      <c r="J19" s="141"/>
      <c r="L19" s="28" t="str">
        <f t="shared" si="15"/>
        <v/>
      </c>
      <c r="N19" s="90" t="str">
        <f t="shared" si="16"/>
        <v/>
      </c>
      <c r="P19" s="55"/>
      <c r="Q19" s="14"/>
      <c r="R19" s="141"/>
      <c r="S19" s="14"/>
      <c r="T19" s="28" t="str">
        <f t="shared" si="17"/>
        <v/>
      </c>
      <c r="V19" s="90"/>
      <c r="X19" s="55"/>
      <c r="Y19" s="14"/>
      <c r="Z19" s="141"/>
      <c r="AA19" s="14"/>
      <c r="AB19" s="28" t="str">
        <f t="shared" si="18"/>
        <v/>
      </c>
      <c r="AC19" s="14"/>
      <c r="AD19" s="90"/>
      <c r="AF19" s="55"/>
      <c r="AG19" s="14"/>
      <c r="AH19" s="141"/>
      <c r="AI19" s="14"/>
      <c r="AJ19" s="28" t="str">
        <f t="shared" si="19"/>
        <v/>
      </c>
      <c r="AL19" s="90"/>
      <c r="AN19" s="55"/>
      <c r="AO19" s="14"/>
      <c r="AP19" s="141"/>
      <c r="AQ19" s="14"/>
      <c r="AR19" s="28" t="str">
        <f t="shared" si="20"/>
        <v/>
      </c>
      <c r="AT19" s="90"/>
      <c r="AV19" s="55"/>
      <c r="AW19" s="14"/>
      <c r="AX19" s="141"/>
      <c r="AY19" s="14"/>
      <c r="AZ19" s="28" t="str">
        <f t="shared" si="21"/>
        <v/>
      </c>
      <c r="BB19" s="90"/>
      <c r="BD19" s="55"/>
      <c r="BE19" s="14"/>
      <c r="BF19" s="141"/>
      <c r="BG19" s="14"/>
      <c r="BH19" s="28" t="str">
        <f t="shared" si="22"/>
        <v/>
      </c>
      <c r="BJ19" s="90"/>
      <c r="BL19" s="55"/>
      <c r="BM19" s="14"/>
      <c r="BN19" s="141"/>
      <c r="BO19" s="14"/>
      <c r="BP19" s="28" t="str">
        <f t="shared" si="23"/>
        <v/>
      </c>
      <c r="BR19" s="90"/>
      <c r="BT19" s="55"/>
      <c r="BU19" s="14"/>
      <c r="BV19" s="141"/>
      <c r="BW19" s="14"/>
      <c r="BX19" s="28" t="str">
        <f t="shared" si="24"/>
        <v/>
      </c>
      <c r="BZ19" s="90"/>
      <c r="CB19" s="55"/>
      <c r="CC19" s="14"/>
      <c r="CD19" s="141"/>
      <c r="CE19" s="14"/>
      <c r="CF19" s="28" t="str">
        <f t="shared" si="25"/>
        <v/>
      </c>
      <c r="CH19" s="90"/>
      <c r="CJ19" s="55"/>
      <c r="CK19" s="14"/>
      <c r="CL19" s="141"/>
      <c r="CM19" s="14"/>
      <c r="CN19" s="28" t="str">
        <f t="shared" si="26"/>
        <v/>
      </c>
      <c r="CP19" s="90"/>
      <c r="CR19" s="55"/>
      <c r="CS19" s="14"/>
      <c r="CT19" s="141"/>
      <c r="CU19" s="14"/>
      <c r="CV19" s="28" t="str">
        <f t="shared" si="27"/>
        <v/>
      </c>
      <c r="CX19" s="90"/>
    </row>
    <row r="20" spans="1:102" ht="15.6" x14ac:dyDescent="0.3">
      <c r="B20" s="49"/>
      <c r="C20" s="21" t="s">
        <v>105</v>
      </c>
      <c r="D20" s="70" t="e">
        <f t="shared" si="13"/>
        <v>#DIV/0!</v>
      </c>
      <c r="E20" s="130">
        <f t="shared" si="14"/>
        <v>0</v>
      </c>
      <c r="F20" s="73" t="str">
        <f t="shared" si="0"/>
        <v/>
      </c>
      <c r="H20" s="55"/>
      <c r="J20" s="141"/>
      <c r="L20" s="28" t="str">
        <f t="shared" si="15"/>
        <v/>
      </c>
      <c r="N20" s="90" t="str">
        <f t="shared" si="16"/>
        <v/>
      </c>
      <c r="P20" s="55"/>
      <c r="Q20" s="14"/>
      <c r="R20" s="141"/>
      <c r="S20" s="14"/>
      <c r="T20" s="28" t="str">
        <f t="shared" si="17"/>
        <v/>
      </c>
      <c r="V20" s="90"/>
      <c r="X20" s="55"/>
      <c r="Y20" s="14"/>
      <c r="Z20" s="141"/>
      <c r="AA20" s="14"/>
      <c r="AB20" s="28" t="str">
        <f t="shared" si="18"/>
        <v/>
      </c>
      <c r="AC20" s="14"/>
      <c r="AD20" s="90"/>
      <c r="AF20" s="55"/>
      <c r="AG20" s="14"/>
      <c r="AH20" s="141"/>
      <c r="AI20" s="14"/>
      <c r="AJ20" s="28" t="str">
        <f t="shared" si="19"/>
        <v/>
      </c>
      <c r="AL20" s="90"/>
      <c r="AN20" s="55"/>
      <c r="AO20" s="14"/>
      <c r="AP20" s="141"/>
      <c r="AQ20" s="14"/>
      <c r="AR20" s="28" t="str">
        <f t="shared" si="20"/>
        <v/>
      </c>
      <c r="AT20" s="90"/>
      <c r="AV20" s="55"/>
      <c r="AW20" s="14"/>
      <c r="AX20" s="141"/>
      <c r="AY20" s="14"/>
      <c r="AZ20" s="28" t="str">
        <f t="shared" si="21"/>
        <v/>
      </c>
      <c r="BB20" s="90"/>
      <c r="BD20" s="55"/>
      <c r="BE20" s="14"/>
      <c r="BF20" s="141"/>
      <c r="BG20" s="14"/>
      <c r="BH20" s="28" t="str">
        <f t="shared" si="22"/>
        <v/>
      </c>
      <c r="BJ20" s="90"/>
      <c r="BL20" s="55"/>
      <c r="BM20" s="14"/>
      <c r="BN20" s="141"/>
      <c r="BO20" s="14"/>
      <c r="BP20" s="28" t="str">
        <f t="shared" si="23"/>
        <v/>
      </c>
      <c r="BR20" s="90"/>
      <c r="BT20" s="55"/>
      <c r="BU20" s="14"/>
      <c r="BV20" s="141"/>
      <c r="BW20" s="14"/>
      <c r="BX20" s="28" t="str">
        <f t="shared" si="24"/>
        <v/>
      </c>
      <c r="BZ20" s="90"/>
      <c r="CB20" s="55"/>
      <c r="CC20" s="14"/>
      <c r="CD20" s="141"/>
      <c r="CE20" s="14"/>
      <c r="CF20" s="28" t="str">
        <f t="shared" si="25"/>
        <v/>
      </c>
      <c r="CH20" s="90"/>
      <c r="CJ20" s="55"/>
      <c r="CK20" s="14"/>
      <c r="CL20" s="141"/>
      <c r="CM20" s="14"/>
      <c r="CN20" s="28" t="str">
        <f t="shared" si="26"/>
        <v/>
      </c>
      <c r="CP20" s="90"/>
      <c r="CR20" s="55"/>
      <c r="CS20" s="14"/>
      <c r="CT20" s="141"/>
      <c r="CU20" s="14"/>
      <c r="CV20" s="28" t="str">
        <f t="shared" si="27"/>
        <v/>
      </c>
      <c r="CX20" s="90"/>
    </row>
    <row r="21" spans="1:102" ht="16.2" thickBot="1" x14ac:dyDescent="0.35">
      <c r="B21" s="48"/>
      <c r="C21" s="62"/>
      <c r="D21" s="71"/>
      <c r="E21" s="131"/>
      <c r="F21" s="74"/>
      <c r="H21" s="56"/>
      <c r="J21" s="143"/>
      <c r="L21" s="28"/>
      <c r="N21" s="90"/>
      <c r="P21" s="56"/>
      <c r="Q21" s="14"/>
      <c r="R21" s="143"/>
      <c r="S21" s="14"/>
      <c r="T21" s="28"/>
      <c r="V21" s="90"/>
      <c r="X21" s="56"/>
      <c r="Y21" s="14"/>
      <c r="Z21" s="143"/>
      <c r="AA21" s="14"/>
      <c r="AB21" s="28"/>
      <c r="AC21" s="14"/>
      <c r="AD21" s="90"/>
      <c r="AF21" s="56"/>
      <c r="AG21" s="14"/>
      <c r="AH21" s="143"/>
      <c r="AI21" s="14"/>
      <c r="AJ21" s="28"/>
      <c r="AL21" s="90"/>
      <c r="AN21" s="56"/>
      <c r="AO21" s="14"/>
      <c r="AP21" s="143"/>
      <c r="AQ21" s="14"/>
      <c r="AR21" s="28"/>
      <c r="AT21" s="90"/>
      <c r="AV21" s="56"/>
      <c r="AW21" s="14"/>
      <c r="AX21" s="143"/>
      <c r="AY21" s="14"/>
      <c r="AZ21" s="28"/>
      <c r="BB21" s="90"/>
      <c r="BD21" s="56"/>
      <c r="BE21" s="14"/>
      <c r="BF21" s="143"/>
      <c r="BG21" s="14"/>
      <c r="BH21" s="28"/>
      <c r="BJ21" s="90"/>
      <c r="BL21" s="56"/>
      <c r="BM21" s="14"/>
      <c r="BN21" s="143"/>
      <c r="BO21" s="14"/>
      <c r="BP21" s="28"/>
      <c r="BR21" s="90"/>
      <c r="BT21" s="56"/>
      <c r="BU21" s="14"/>
      <c r="BV21" s="143"/>
      <c r="BW21" s="14"/>
      <c r="BX21" s="28"/>
      <c r="BZ21" s="90"/>
      <c r="CB21" s="56"/>
      <c r="CC21" s="14"/>
      <c r="CD21" s="143"/>
      <c r="CE21" s="14"/>
      <c r="CF21" s="28"/>
      <c r="CH21" s="90"/>
      <c r="CJ21" s="56"/>
      <c r="CK21" s="14"/>
      <c r="CL21" s="143"/>
      <c r="CM21" s="14"/>
      <c r="CN21" s="28"/>
      <c r="CP21" s="90"/>
      <c r="CR21" s="56"/>
      <c r="CS21" s="14"/>
      <c r="CT21" s="143"/>
      <c r="CU21" s="14"/>
      <c r="CV21" s="28"/>
      <c r="CX21" s="90"/>
    </row>
    <row r="22" spans="1:102" ht="7.5" customHeight="1" thickBot="1" x14ac:dyDescent="0.35">
      <c r="D22" s="14"/>
      <c r="E22" s="116"/>
      <c r="F22" s="14"/>
      <c r="H22" s="14"/>
      <c r="P22" s="14"/>
      <c r="Q22" s="14"/>
      <c r="R22" s="14"/>
      <c r="S22" s="14"/>
      <c r="T22" s="14"/>
      <c r="X22" s="14"/>
      <c r="Y22" s="14"/>
      <c r="Z22" s="14"/>
      <c r="AA22" s="14"/>
      <c r="AB22" s="14"/>
      <c r="AC22" s="14"/>
      <c r="AF22" s="14"/>
      <c r="AG22" s="14"/>
      <c r="AH22" s="14"/>
      <c r="AI22" s="14"/>
      <c r="AJ22" s="14"/>
      <c r="AN22" s="14"/>
      <c r="AO22" s="14"/>
      <c r="AP22" s="14"/>
      <c r="AQ22" s="14"/>
      <c r="AR22" s="14"/>
      <c r="AV22" s="14"/>
      <c r="AW22" s="14"/>
      <c r="AX22" s="14"/>
      <c r="AY22" s="14"/>
      <c r="AZ22" s="14"/>
      <c r="BD22" s="14"/>
      <c r="BE22" s="14"/>
      <c r="BF22" s="14"/>
      <c r="BG22" s="14"/>
      <c r="BH22" s="14"/>
      <c r="BL22" s="14"/>
      <c r="BM22" s="14"/>
      <c r="BN22" s="14"/>
      <c r="BO22" s="14"/>
      <c r="BP22" s="14"/>
      <c r="BT22" s="14"/>
      <c r="BU22" s="14"/>
      <c r="BV22" s="14"/>
      <c r="BW22" s="14"/>
      <c r="BX22" s="14"/>
      <c r="CB22" s="14"/>
      <c r="CC22" s="14"/>
      <c r="CD22" s="14"/>
      <c r="CE22" s="14"/>
      <c r="CF22" s="14"/>
      <c r="CJ22" s="14"/>
      <c r="CK22" s="14"/>
      <c r="CL22" s="14"/>
      <c r="CM22" s="14"/>
      <c r="CN22" s="14"/>
      <c r="CR22" s="14"/>
      <c r="CS22" s="14"/>
      <c r="CT22" s="14"/>
      <c r="CU22" s="14"/>
      <c r="CV22" s="14"/>
    </row>
    <row r="23" spans="1:102" s="92" customFormat="1" ht="16.2" thickBot="1" x14ac:dyDescent="0.35">
      <c r="A23" s="87"/>
      <c r="B23" s="210" t="s">
        <v>16</v>
      </c>
      <c r="C23" s="211"/>
      <c r="D23" s="57" t="e">
        <f>D7-D13</f>
        <v>#DIV/0!</v>
      </c>
      <c r="E23" s="132" t="e">
        <f>E7-E13</f>
        <v>#VALUE!</v>
      </c>
      <c r="F23" s="58" t="e">
        <f t="shared" ref="F23" si="28">IF(E23&lt;&gt;0,E23/E$7,"")</f>
        <v>#VALUE!</v>
      </c>
      <c r="H23" s="60" t="str">
        <f>IF(H13&lt;&gt;"",(H7-H13),"")</f>
        <v/>
      </c>
      <c r="J23" s="60" t="str">
        <f>IF(J13&lt;&gt;"",(J7-J13),"")</f>
        <v/>
      </c>
      <c r="L23" s="93" t="str">
        <f>IF(J23&lt;&gt;"",J23/J7,"")</f>
        <v/>
      </c>
      <c r="N23" s="93" t="str">
        <f>IF(J23&lt;&gt;"",(J23/H23)-1,"")</f>
        <v/>
      </c>
      <c r="P23" s="60" t="str">
        <f>IF(P13&lt;&gt;"",(P7-P13),"")</f>
        <v/>
      </c>
      <c r="R23" s="60" t="str">
        <f>IF(R13&lt;&gt;"",(R7-R13),"")</f>
        <v/>
      </c>
      <c r="T23" s="93" t="str">
        <f>IF(R23&lt;&gt;"",R23/R7,"")</f>
        <v/>
      </c>
      <c r="V23" s="93" t="str">
        <f>IF(R23&lt;&gt;"",(R23/P23)-1,"")</f>
        <v/>
      </c>
      <c r="X23" s="60" t="str">
        <f>IF(X13&lt;&gt;"",(X7-X13),"")</f>
        <v/>
      </c>
      <c r="Z23" s="60" t="str">
        <f>IF(Z13&lt;&gt;"",(Z7-Z13),"")</f>
        <v/>
      </c>
      <c r="AB23" s="93" t="str">
        <f>IF(Z23&lt;&gt;"",Z23/Z7,"")</f>
        <v/>
      </c>
      <c r="AD23" s="93" t="str">
        <f>IF(Z23&lt;&gt;"",(Z23/X23)-1,"")</f>
        <v/>
      </c>
      <c r="AF23" s="60" t="str">
        <f>IF(AF13&lt;&gt;"",(AF7-AF13),"")</f>
        <v/>
      </c>
      <c r="AH23" s="60" t="str">
        <f>IF(AH13&lt;&gt;"",(AH7-AH13),"")</f>
        <v/>
      </c>
      <c r="AJ23" s="93" t="str">
        <f>IF(AH23&lt;&gt;"",AH23/AH7,"")</f>
        <v/>
      </c>
      <c r="AL23" s="93" t="str">
        <f>IF(AH23&lt;&gt;"",(AH23/AF23)-1,"")</f>
        <v/>
      </c>
      <c r="AN23" s="60" t="str">
        <f>IF(AN13&lt;&gt;"",(AN7-AN13),"")</f>
        <v/>
      </c>
      <c r="AP23" s="60" t="str">
        <f>IF(AP13&lt;&gt;"",(AP7-AP13),"")</f>
        <v/>
      </c>
      <c r="AR23" s="93" t="str">
        <f>IF(AP23&lt;&gt;"",AP23/AP7,"")</f>
        <v/>
      </c>
      <c r="AT23" s="93" t="str">
        <f>IF(AP23&lt;&gt;"",(AP23/AN23)-1,"")</f>
        <v/>
      </c>
      <c r="AV23" s="60" t="str">
        <f>IF(AV13&lt;&gt;"",(AV7-AV13),"")</f>
        <v/>
      </c>
      <c r="AX23" s="60" t="str">
        <f>IF(AX13&lt;&gt;"",(AX7-AX13),"")</f>
        <v/>
      </c>
      <c r="AZ23" s="93" t="str">
        <f>IF(AX23&lt;&gt;"",AX23/AX7,"")</f>
        <v/>
      </c>
      <c r="BB23" s="93" t="str">
        <f>IF(AX23&lt;&gt;"",(AX23/AV23)-1,"")</f>
        <v/>
      </c>
      <c r="BD23" s="60" t="str">
        <f>IF(BD13&lt;&gt;"",(BD7-BD13),"")</f>
        <v/>
      </c>
      <c r="BF23" s="60" t="str">
        <f>IF(BF13&lt;&gt;"",(BF7-BF13),"")</f>
        <v/>
      </c>
      <c r="BH23" s="93" t="str">
        <f>IF(BF23&lt;&gt;"",BF23/BF7,"")</f>
        <v/>
      </c>
      <c r="BJ23" s="93" t="str">
        <f>IF(BF23&lt;&gt;"",(BF23/BD23)-1,"")</f>
        <v/>
      </c>
      <c r="BL23" s="60" t="str">
        <f>IF(BL13&lt;&gt;"",(BL7-BL13),"")</f>
        <v/>
      </c>
      <c r="BN23" s="60" t="str">
        <f>IF(BN13&lt;&gt;"",(BN7-BN13),"")</f>
        <v/>
      </c>
      <c r="BP23" s="93" t="str">
        <f>IF(BN23&lt;&gt;"",BN23/BN7,"")</f>
        <v/>
      </c>
      <c r="BR23" s="93" t="str">
        <f>IF(BN23&lt;&gt;"",(BN23/BL23)-1,"")</f>
        <v/>
      </c>
      <c r="BT23" s="60" t="str">
        <f>IF(BT13&lt;&gt;"",(BT7-BT13),"")</f>
        <v/>
      </c>
      <c r="BV23" s="60" t="str">
        <f>IF(BV13&lt;&gt;"",(BV7-BV13),"")</f>
        <v/>
      </c>
      <c r="BX23" s="93" t="str">
        <f>IF(BV23&lt;&gt;"",BV23/BV7,"")</f>
        <v/>
      </c>
      <c r="BZ23" s="93" t="str">
        <f>IF(BV23&lt;&gt;"",(BV23/BT23)-1,"")</f>
        <v/>
      </c>
      <c r="CB23" s="60" t="str">
        <f>IF(CB13&lt;&gt;"",(CB7-CB13),"")</f>
        <v/>
      </c>
      <c r="CD23" s="60" t="str">
        <f>IF(CD13&lt;&gt;"",(CD7-CD13),"")</f>
        <v/>
      </c>
      <c r="CF23" s="93" t="str">
        <f>IF(CD23&lt;&gt;"",CD23/CD7,"")</f>
        <v/>
      </c>
      <c r="CH23" s="93" t="str">
        <f>IF(CD23&lt;&gt;"",(CD23/CB23)-1,"")</f>
        <v/>
      </c>
      <c r="CJ23" s="60" t="str">
        <f>IF(CJ13&lt;&gt;"",(CJ7-CJ13),"")</f>
        <v/>
      </c>
      <c r="CL23" s="60" t="str">
        <f>IF(CL13&lt;&gt;"",(CL7-CL13),"")</f>
        <v/>
      </c>
      <c r="CN23" s="93" t="str">
        <f>IF(CL23&lt;&gt;"",CL23/CL7,"")</f>
        <v/>
      </c>
      <c r="CP23" s="93" t="str">
        <f>IF(CL23&lt;&gt;"",(CL23/CJ23)-1,"")</f>
        <v/>
      </c>
      <c r="CR23" s="60" t="str">
        <f>IF(CR13&lt;&gt;"",(CR7-CR13),"")</f>
        <v/>
      </c>
      <c r="CT23" s="60" t="str">
        <f>IF(CT13&lt;&gt;"",(CT7-CT13),"")</f>
        <v/>
      </c>
      <c r="CV23" s="93" t="str">
        <f>IF(CT23&lt;&gt;"",CT23/CT7,"")</f>
        <v/>
      </c>
      <c r="CX23" s="93" t="str">
        <f>IF(CT23&lt;&gt;"",(CT23/CR23)-1,"")</f>
        <v/>
      </c>
    </row>
    <row r="24" spans="1:102" ht="16.2" thickBot="1" x14ac:dyDescent="0.35">
      <c r="C24" s="24"/>
      <c r="D24" s="16"/>
      <c r="E24" s="126"/>
      <c r="F24" s="17"/>
      <c r="H24" s="16"/>
      <c r="J24" s="16"/>
      <c r="L24" s="31"/>
      <c r="N24" s="31"/>
      <c r="P24" s="16"/>
      <c r="Q24" s="14"/>
      <c r="R24" s="16"/>
      <c r="S24" s="14"/>
      <c r="T24" s="31"/>
      <c r="V24" s="31"/>
      <c r="X24" s="16"/>
      <c r="Y24" s="14"/>
      <c r="Z24" s="16"/>
      <c r="AA24" s="14"/>
      <c r="AB24" s="31"/>
      <c r="AC24" s="14"/>
      <c r="AD24" s="31"/>
      <c r="AF24" s="16"/>
      <c r="AG24" s="14"/>
      <c r="AH24" s="16"/>
      <c r="AI24" s="14"/>
      <c r="AJ24" s="31"/>
      <c r="AL24" s="31"/>
      <c r="AN24" s="16"/>
      <c r="AO24" s="14"/>
      <c r="AP24" s="16"/>
      <c r="AQ24" s="14"/>
      <c r="AR24" s="31"/>
      <c r="AT24" s="31"/>
      <c r="AV24" s="16"/>
      <c r="AW24" s="14"/>
      <c r="AX24" s="16"/>
      <c r="AY24" s="14"/>
      <c r="AZ24" s="31"/>
      <c r="BB24" s="31"/>
      <c r="BD24" s="16"/>
      <c r="BE24" s="14"/>
      <c r="BF24" s="16"/>
      <c r="BG24" s="14"/>
      <c r="BH24" s="31"/>
      <c r="BJ24" s="31"/>
      <c r="BL24" s="16"/>
      <c r="BM24" s="14"/>
      <c r="BN24" s="16"/>
      <c r="BO24" s="14"/>
      <c r="BP24" s="31"/>
      <c r="BR24" s="31"/>
      <c r="BT24" s="16"/>
      <c r="BU24" s="14"/>
      <c r="BV24" s="16"/>
      <c r="BW24" s="14"/>
      <c r="BX24" s="31"/>
      <c r="BZ24" s="31"/>
      <c r="CB24" s="16"/>
      <c r="CC24" s="14"/>
      <c r="CD24" s="16"/>
      <c r="CE24" s="14"/>
      <c r="CF24" s="31"/>
      <c r="CH24" s="31"/>
      <c r="CJ24" s="16"/>
      <c r="CK24" s="14"/>
      <c r="CL24" s="16"/>
      <c r="CM24" s="14"/>
      <c r="CN24" s="31"/>
      <c r="CP24" s="31"/>
      <c r="CR24" s="16"/>
      <c r="CS24" s="14"/>
      <c r="CT24" s="16"/>
      <c r="CU24" s="14"/>
      <c r="CV24" s="31"/>
      <c r="CX24" s="31"/>
    </row>
    <row r="25" spans="1:102" ht="16.2" thickBot="1" x14ac:dyDescent="0.35">
      <c r="B25" s="208" t="s">
        <v>17</v>
      </c>
      <c r="C25" s="212"/>
      <c r="D25" s="23"/>
      <c r="E25" s="129"/>
      <c r="F25" s="23"/>
      <c r="G25" s="23"/>
      <c r="H25" s="23"/>
      <c r="I25" s="23"/>
      <c r="J25" s="23"/>
      <c r="K25" s="23"/>
      <c r="L25" s="32"/>
      <c r="M25" s="23"/>
      <c r="N25" s="32"/>
      <c r="O25" s="23"/>
      <c r="P25" s="23"/>
      <c r="Q25" s="23"/>
      <c r="R25" s="23"/>
      <c r="S25" s="23"/>
      <c r="T25" s="32"/>
      <c r="U25" s="23"/>
      <c r="V25" s="32"/>
      <c r="W25" s="23"/>
      <c r="X25" s="23"/>
      <c r="Y25" s="23"/>
      <c r="Z25" s="23"/>
      <c r="AA25" s="23"/>
      <c r="AB25" s="32"/>
      <c r="AC25" s="23"/>
      <c r="AD25" s="32"/>
      <c r="AE25" s="23"/>
      <c r="AF25" s="23"/>
      <c r="AG25" s="23"/>
      <c r="AH25" s="23"/>
      <c r="AI25" s="23"/>
      <c r="AJ25" s="32"/>
      <c r="AK25" s="23"/>
      <c r="AL25" s="32"/>
      <c r="AM25" s="23"/>
      <c r="AN25" s="23"/>
      <c r="AO25" s="23"/>
      <c r="AP25" s="23"/>
      <c r="AQ25" s="23"/>
      <c r="AR25" s="32"/>
      <c r="AS25" s="23"/>
      <c r="AT25" s="32"/>
      <c r="AU25" s="23"/>
      <c r="AV25" s="23"/>
      <c r="AW25" s="23"/>
      <c r="AX25" s="23"/>
      <c r="AY25" s="23"/>
      <c r="AZ25" s="32"/>
      <c r="BA25" s="23"/>
      <c r="BB25" s="32"/>
      <c r="BC25" s="23"/>
      <c r="BD25" s="23"/>
      <c r="BE25" s="23"/>
      <c r="BF25" s="23"/>
      <c r="BG25" s="23"/>
      <c r="BH25" s="32"/>
      <c r="BI25" s="23"/>
      <c r="BJ25" s="32"/>
      <c r="BK25" s="23"/>
      <c r="BL25" s="23"/>
      <c r="BM25" s="23"/>
      <c r="BN25" s="23"/>
      <c r="BO25" s="23"/>
      <c r="BP25" s="32"/>
      <c r="BQ25" s="23"/>
      <c r="BR25" s="32"/>
      <c r="BS25" s="23"/>
      <c r="BT25" s="23"/>
      <c r="BU25" s="23"/>
      <c r="BV25" s="23"/>
      <c r="BW25" s="23"/>
      <c r="BX25" s="32"/>
      <c r="BY25" s="23"/>
      <c r="BZ25" s="32"/>
      <c r="CA25" s="23"/>
      <c r="CB25" s="23"/>
      <c r="CC25" s="23"/>
      <c r="CD25" s="23"/>
      <c r="CE25" s="23"/>
      <c r="CF25" s="32"/>
      <c r="CG25" s="23"/>
      <c r="CH25" s="32"/>
      <c r="CI25" s="23"/>
      <c r="CJ25" s="23"/>
      <c r="CK25" s="23"/>
      <c r="CL25" s="23"/>
      <c r="CM25" s="23"/>
      <c r="CN25" s="32"/>
      <c r="CO25" s="23"/>
      <c r="CP25" s="32"/>
      <c r="CQ25" s="23"/>
      <c r="CR25" s="23"/>
      <c r="CS25" s="23"/>
      <c r="CT25" s="23"/>
      <c r="CU25" s="23"/>
      <c r="CV25" s="32"/>
      <c r="CW25" s="23"/>
      <c r="CX25" s="32"/>
    </row>
    <row r="26" spans="1:102" ht="8.25" customHeight="1" thickBot="1" x14ac:dyDescent="0.35">
      <c r="C26" s="24"/>
      <c r="D26" s="16"/>
      <c r="E26" s="126"/>
      <c r="F26" s="17"/>
      <c r="H26" s="33"/>
      <c r="J26" s="33"/>
      <c r="N26" s="31"/>
      <c r="P26" s="33"/>
      <c r="Q26" s="14"/>
      <c r="R26" s="33"/>
      <c r="S26" s="14"/>
      <c r="T26" s="14"/>
      <c r="V26" s="31"/>
      <c r="X26" s="33"/>
      <c r="Y26" s="14"/>
      <c r="Z26" s="33"/>
      <c r="AA26" s="14"/>
      <c r="AB26" s="14"/>
      <c r="AC26" s="14"/>
      <c r="AD26" s="31"/>
      <c r="AF26" s="33"/>
      <c r="AG26" s="14"/>
      <c r="AH26" s="33"/>
      <c r="AI26" s="14"/>
      <c r="AJ26" s="14"/>
      <c r="AL26" s="31"/>
      <c r="AN26" s="33"/>
      <c r="AO26" s="14"/>
      <c r="AP26" s="33"/>
      <c r="AQ26" s="14"/>
      <c r="AR26" s="14"/>
      <c r="AT26" s="31"/>
      <c r="AV26" s="33"/>
      <c r="AW26" s="14"/>
      <c r="AX26" s="33"/>
      <c r="AY26" s="14"/>
      <c r="AZ26" s="14"/>
      <c r="BB26" s="31"/>
      <c r="BD26" s="33"/>
      <c r="BE26" s="14"/>
      <c r="BF26" s="33"/>
      <c r="BG26" s="14"/>
      <c r="BH26" s="14"/>
      <c r="BJ26" s="31"/>
      <c r="BL26" s="33"/>
      <c r="BM26" s="14"/>
      <c r="BN26" s="33"/>
      <c r="BO26" s="14"/>
      <c r="BP26" s="14"/>
      <c r="BR26" s="31"/>
      <c r="BT26" s="33"/>
      <c r="BU26" s="14"/>
      <c r="BV26" s="33"/>
      <c r="BW26" s="14"/>
      <c r="BX26" s="14"/>
      <c r="BZ26" s="31"/>
      <c r="CB26" s="33"/>
      <c r="CC26" s="14"/>
      <c r="CD26" s="33"/>
      <c r="CE26" s="14"/>
      <c r="CF26" s="14"/>
      <c r="CH26" s="31"/>
      <c r="CJ26" s="33"/>
      <c r="CK26" s="14"/>
      <c r="CL26" s="33"/>
      <c r="CM26" s="14"/>
      <c r="CN26" s="14"/>
      <c r="CP26" s="31"/>
      <c r="CR26" s="33"/>
      <c r="CS26" s="14"/>
      <c r="CT26" s="33"/>
      <c r="CU26" s="14"/>
      <c r="CV26" s="14"/>
      <c r="CX26" s="31"/>
    </row>
    <row r="27" spans="1:102" ht="16.2" thickBot="1" x14ac:dyDescent="0.35">
      <c r="B27" s="208" t="s">
        <v>18</v>
      </c>
      <c r="C27" s="209"/>
      <c r="D27" s="29" t="e">
        <f>IF(SUM(D28:D41)&lt;&gt;"",SUM(D28:D41),"")</f>
        <v>#DIV/0!</v>
      </c>
      <c r="E27" s="127">
        <f>IF(SUM(E28:E41)&lt;&gt;"",SUM(E28:E41),"")</f>
        <v>0</v>
      </c>
      <c r="F27" s="54">
        <f>IF(SUM(F28:F41)&lt;&gt;"",SUM(F28:F41),"")</f>
        <v>0</v>
      </c>
      <c r="H27" s="29">
        <f>IF(SUM(H28:H41)&lt;&gt;"",SUM(H28:H41),"")</f>
        <v>0</v>
      </c>
      <c r="J27" s="29">
        <f>IF(SUM(J28:J41)&lt;&gt;"",SUM(J28:J41),"")</f>
        <v>0</v>
      </c>
      <c r="L27" s="94" t="str">
        <f>IF(SUM(L28:L41)&lt;&gt;0,SUM(L28:L41),"")</f>
        <v/>
      </c>
      <c r="N27" s="30" t="e">
        <f>IF(J27&lt;&gt;"",(J27/$D27)-1,"")</f>
        <v>#DIV/0!</v>
      </c>
      <c r="P27" s="29">
        <f>IF(SUM(P28:P41)&lt;&gt;"",SUM(P28:P41),"")</f>
        <v>0</v>
      </c>
      <c r="Q27" s="14"/>
      <c r="R27" s="29">
        <f>IF(SUM(R28:R41)&lt;&gt;"",SUM(R28:R41),"")</f>
        <v>0</v>
      </c>
      <c r="S27" s="14"/>
      <c r="T27" s="94" t="str">
        <f>IF(SUM(T28:T41)&lt;&gt;0,SUM(T28:T41),"")</f>
        <v/>
      </c>
      <c r="V27" s="94" t="str">
        <f t="shared" ref="V27:V41" si="29">IF(R27&lt;&gt;0,(R27/P27)-1,"")</f>
        <v/>
      </c>
      <c r="X27" s="29">
        <f>IF(SUM(X28:X41)&lt;&gt;"",SUM(X28:X41),"")</f>
        <v>0</v>
      </c>
      <c r="Y27" s="14"/>
      <c r="Z27" s="29">
        <f>IF(SUM(Z28:Z41)&lt;&gt;"",SUM(Z28:Z41),"")</f>
        <v>0</v>
      </c>
      <c r="AA27" s="14"/>
      <c r="AB27" s="94" t="str">
        <f>IF(SUM(AB28:AB41)&lt;&gt;0,SUM(AB28:AB41),"")</f>
        <v/>
      </c>
      <c r="AC27" s="14"/>
      <c r="AD27" s="94" t="str">
        <f t="shared" ref="AD27:AD41" si="30">IF(Z27&lt;&gt;0,(Z27/X27)-1,"")</f>
        <v/>
      </c>
      <c r="AF27" s="29">
        <f>IF(SUM(AF28:AF41)&lt;&gt;"",SUM(AF28:AF41),"")</f>
        <v>0</v>
      </c>
      <c r="AG27" s="14"/>
      <c r="AH27" s="29">
        <f>IF(SUM(AH28:AH41)&lt;&gt;"",SUM(AH28:AH41),"")</f>
        <v>0</v>
      </c>
      <c r="AI27" s="14"/>
      <c r="AJ27" s="94" t="str">
        <f>IF(SUM(AJ28:AJ41)&lt;&gt;0,SUM(AJ28:AJ41),"")</f>
        <v/>
      </c>
      <c r="AL27" s="94" t="str">
        <f t="shared" ref="AL27:AL41" si="31">IF(AH27&lt;&gt;0,(AH27/AF27)-1,"")</f>
        <v/>
      </c>
      <c r="AN27" s="29">
        <f>IF(SUM(AN28:AN41)&lt;&gt;"",SUM(AN28:AN41),"")</f>
        <v>0</v>
      </c>
      <c r="AO27" s="14"/>
      <c r="AP27" s="29">
        <f>IF(SUM(AP28:AP41)&lt;&gt;"",SUM(AP28:AP41),"")</f>
        <v>0</v>
      </c>
      <c r="AQ27" s="14"/>
      <c r="AR27" s="94" t="str">
        <f>IF(SUM(AR28:AR41)&lt;&gt;0,SUM(AR28:AR41),"")</f>
        <v/>
      </c>
      <c r="AT27" s="94" t="str">
        <f t="shared" ref="AT27:AT41" si="32">IF(AP27&lt;&gt;0,(AP27/AN27)-1,"")</f>
        <v/>
      </c>
      <c r="AV27" s="29">
        <f>IF(SUM(AV28:AV41)&lt;&gt;"",SUM(AV28:AV41),"")</f>
        <v>0</v>
      </c>
      <c r="AW27" s="14"/>
      <c r="AX27" s="29">
        <f>IF(SUM(AX28:AX41)&lt;&gt;"",SUM(AX28:AX41),"")</f>
        <v>0</v>
      </c>
      <c r="AY27" s="14"/>
      <c r="AZ27" s="94" t="str">
        <f>IF(SUM(AZ28:AZ41)&lt;&gt;0,SUM(AZ28:AZ41),"")</f>
        <v/>
      </c>
      <c r="BB27" s="94" t="str">
        <f t="shared" ref="BB27:BB41" si="33">IF(AX27&lt;&gt;0,(AX27/AV27)-1,"")</f>
        <v/>
      </c>
      <c r="BD27" s="29">
        <f>IF(SUM(BD28:BD41)&lt;&gt;"",SUM(BD28:BD41),"")</f>
        <v>0</v>
      </c>
      <c r="BE27" s="14"/>
      <c r="BF27" s="29">
        <f>IF(SUM(BF28:BF41)&lt;&gt;"",SUM(BF28:BF41),"")</f>
        <v>0</v>
      </c>
      <c r="BG27" s="14"/>
      <c r="BH27" s="94" t="str">
        <f>IF(SUM(BH28:BH41)&lt;&gt;0,SUM(BH28:BH41),"")</f>
        <v/>
      </c>
      <c r="BJ27" s="94" t="str">
        <f t="shared" ref="BJ27:BJ41" si="34">IF(BF27&lt;&gt;0,(BF27/BD27)-1,"")</f>
        <v/>
      </c>
      <c r="BL27" s="29">
        <f>IF(SUM(BL28:BL41)&lt;&gt;"",SUM(BL28:BL41),"")</f>
        <v>0</v>
      </c>
      <c r="BM27" s="14"/>
      <c r="BN27" s="29">
        <f>IF(SUM(BN28:BN41)&lt;&gt;"",SUM(BN28:BN41),"")</f>
        <v>0</v>
      </c>
      <c r="BO27" s="14"/>
      <c r="BP27" s="94" t="str">
        <f>IF(SUM(BP28:BP41)&lt;&gt;0,SUM(BP28:BP41),"")</f>
        <v/>
      </c>
      <c r="BR27" s="94" t="str">
        <f t="shared" ref="BR27:BR41" si="35">IF(BN27&lt;&gt;0,(BN27/BL27)-1,"")</f>
        <v/>
      </c>
      <c r="BT27" s="29">
        <f>IF(SUM(BT28:BT41)&lt;&gt;"",SUM(BT28:BT41),"")</f>
        <v>0</v>
      </c>
      <c r="BU27" s="14"/>
      <c r="BV27" s="29">
        <f>IF(SUM(BV28:BV41)&lt;&gt;"",SUM(BV28:BV41),"")</f>
        <v>0</v>
      </c>
      <c r="BW27" s="14"/>
      <c r="BX27" s="94" t="str">
        <f>IF(SUM(BX28:BX41)&lt;&gt;0,SUM(BX28:BX41),"")</f>
        <v/>
      </c>
      <c r="BZ27" s="94" t="str">
        <f t="shared" ref="BZ27:BZ41" si="36">IF(BV27&lt;&gt;0,(BV27/BT27)-1,"")</f>
        <v/>
      </c>
      <c r="CB27" s="29">
        <f>IF(SUM(CB28:CB41)&lt;&gt;"",SUM(CB28:CB41),"")</f>
        <v>0</v>
      </c>
      <c r="CC27" s="14"/>
      <c r="CD27" s="29">
        <f>IF(SUM(CD28:CD41)&lt;&gt;"",SUM(CD28:CD41),"")</f>
        <v>0</v>
      </c>
      <c r="CE27" s="14"/>
      <c r="CF27" s="94" t="str">
        <f>IF(SUM(CF28:CF41)&lt;&gt;0,SUM(CF28:CF41),"")</f>
        <v/>
      </c>
      <c r="CH27" s="94" t="str">
        <f t="shared" ref="CH27:CH41" si="37">IF(CD27&lt;&gt;0,(CD27/CB27)-1,"")</f>
        <v/>
      </c>
      <c r="CJ27" s="29">
        <f>IF(SUM(CJ28:CJ41)&lt;&gt;"",SUM(CJ28:CJ41),"")</f>
        <v>0</v>
      </c>
      <c r="CK27" s="14"/>
      <c r="CL27" s="29">
        <f>IF(SUM(CL28:CL41)&lt;&gt;"",SUM(CL28:CL41),"")</f>
        <v>0</v>
      </c>
      <c r="CM27" s="14"/>
      <c r="CN27" s="94" t="str">
        <f>IF(SUM(CN28:CN41)&lt;&gt;0,SUM(CN28:CN41),"")</f>
        <v/>
      </c>
      <c r="CP27" s="94" t="str">
        <f t="shared" ref="CP27:CP41" si="38">IF(CL27&lt;&gt;0,(CL27/CJ27)-1,"")</f>
        <v/>
      </c>
      <c r="CR27" s="29">
        <f>IF(SUM(CR28:CR41)&lt;&gt;"",SUM(CR28:CR41),"")</f>
        <v>0</v>
      </c>
      <c r="CS27" s="14"/>
      <c r="CT27" s="29">
        <f>IF(SUM(CT28:CT41)&lt;&gt;"",SUM(CT28:CT41),"")</f>
        <v>0</v>
      </c>
      <c r="CU27" s="14"/>
      <c r="CV27" s="94" t="str">
        <f>IF(SUM(CV28:CV41)&lt;&gt;0,SUM(CV28:CV41),"")</f>
        <v/>
      </c>
      <c r="CX27" s="94" t="str">
        <f t="shared" ref="CX27:CX41" si="39">IF(CT27&lt;&gt;0,(CT27/CR27)-1,"")</f>
        <v/>
      </c>
    </row>
    <row r="28" spans="1:102" ht="15.6" x14ac:dyDescent="0.3">
      <c r="B28" s="46"/>
      <c r="C28" s="110" t="s">
        <v>89</v>
      </c>
      <c r="D28" s="70" t="e">
        <f t="shared" ref="D28:D41" si="40">IF(AVERAGE(J28,R28,Z28,AH28,AP28,AX28,BF28,BN28,BV28,CD28,CL28,CT28)&lt;&gt;"",AVERAGE(J28,R28,Z28,AH28,AP28,AX28,BF28,BN28,BV28,CD28,CL28,CT28),"")</f>
        <v>#DIV/0!</v>
      </c>
      <c r="E28" s="130">
        <f t="shared" ref="E28:E41" si="41">IF(SUM(J28,R28,Z28,AH28,AP28,AX28,BF28,BN28,BV28,CD28,CL28,CT28)&lt;&gt;"",SUM(J28,R28,Z28,AH28,AP28,AX28,BF28,BN28,BV28,CD28,CL28,CT28),"")</f>
        <v>0</v>
      </c>
      <c r="F28" s="73" t="str">
        <f t="shared" ref="F28:F41" si="42">IF(E28&lt;&gt;0,E28/E$7,"")</f>
        <v/>
      </c>
      <c r="H28" s="95"/>
      <c r="J28" s="144"/>
      <c r="L28" s="28" t="str">
        <f>IF(J28&lt;&gt;"",J28/J$7,"")</f>
        <v/>
      </c>
      <c r="N28" s="90" t="str">
        <f t="shared" ref="N28:N41" si="43">IF(J28&lt;&gt;0,(J28/D28)-1,"")</f>
        <v/>
      </c>
      <c r="P28" s="95"/>
      <c r="Q28" s="14"/>
      <c r="R28" s="144"/>
      <c r="S28" s="14"/>
      <c r="T28" s="28" t="str">
        <f>IF(R28&lt;&gt;"",R28/R$7,"")</f>
        <v/>
      </c>
      <c r="V28" s="90" t="str">
        <f t="shared" si="29"/>
        <v/>
      </c>
      <c r="X28" s="95"/>
      <c r="Y28" s="14"/>
      <c r="Z28" s="144"/>
      <c r="AA28" s="14"/>
      <c r="AB28" s="28" t="str">
        <f>IF(Z28&lt;&gt;"",Z28/Z$7,"")</f>
        <v/>
      </c>
      <c r="AC28" s="14"/>
      <c r="AD28" s="90" t="str">
        <f t="shared" si="30"/>
        <v/>
      </c>
      <c r="AF28" s="95"/>
      <c r="AG28" s="14"/>
      <c r="AH28" s="144"/>
      <c r="AI28" s="14"/>
      <c r="AJ28" s="28" t="str">
        <f>IF(AH28&lt;&gt;"",AH28/AH$7,"")</f>
        <v/>
      </c>
      <c r="AL28" s="90" t="str">
        <f t="shared" si="31"/>
        <v/>
      </c>
      <c r="AN28" s="95"/>
      <c r="AO28" s="14"/>
      <c r="AP28" s="144"/>
      <c r="AQ28" s="14"/>
      <c r="AR28" s="28" t="str">
        <f>IF(AP28&lt;&gt;"",AP28/AP$7,"")</f>
        <v/>
      </c>
      <c r="AT28" s="90" t="str">
        <f t="shared" si="32"/>
        <v/>
      </c>
      <c r="AV28" s="95"/>
      <c r="AW28" s="14"/>
      <c r="AX28" s="144"/>
      <c r="AY28" s="14"/>
      <c r="AZ28" s="28" t="str">
        <f>IF(AX28&lt;&gt;"",AX28/AX$7,"")</f>
        <v/>
      </c>
      <c r="BB28" s="90" t="str">
        <f t="shared" si="33"/>
        <v/>
      </c>
      <c r="BD28" s="95"/>
      <c r="BE28" s="14"/>
      <c r="BF28" s="144"/>
      <c r="BG28" s="14"/>
      <c r="BH28" s="28" t="str">
        <f>IF(BF28&lt;&gt;"",BF28/BF$7,"")</f>
        <v/>
      </c>
      <c r="BJ28" s="90" t="str">
        <f t="shared" si="34"/>
        <v/>
      </c>
      <c r="BL28" s="95"/>
      <c r="BM28" s="14"/>
      <c r="BN28" s="144"/>
      <c r="BO28" s="14"/>
      <c r="BP28" s="28" t="str">
        <f>IF(BN28&lt;&gt;"",BN28/BN$7,"")</f>
        <v/>
      </c>
      <c r="BR28" s="90" t="str">
        <f t="shared" si="35"/>
        <v/>
      </c>
      <c r="BT28" s="95"/>
      <c r="BU28" s="14"/>
      <c r="BV28" s="144"/>
      <c r="BW28" s="14"/>
      <c r="BX28" s="28" t="str">
        <f>IF(BV28&lt;&gt;"",BV28/BV$7,"")</f>
        <v/>
      </c>
      <c r="BZ28" s="90" t="str">
        <f t="shared" si="36"/>
        <v/>
      </c>
      <c r="CB28" s="95"/>
      <c r="CC28" s="14"/>
      <c r="CD28" s="144"/>
      <c r="CE28" s="14"/>
      <c r="CF28" s="28" t="str">
        <f>IF(CD28&lt;&gt;"",CD28/CD$7,"")</f>
        <v/>
      </c>
      <c r="CH28" s="90" t="str">
        <f t="shared" si="37"/>
        <v/>
      </c>
      <c r="CJ28" s="95"/>
      <c r="CK28" s="14"/>
      <c r="CL28" s="144"/>
      <c r="CM28" s="14"/>
      <c r="CN28" s="28" t="str">
        <f>IF(CL28&lt;&gt;"",CL28/CL$7,"")</f>
        <v/>
      </c>
      <c r="CP28" s="90" t="str">
        <f t="shared" si="38"/>
        <v/>
      </c>
      <c r="CR28" s="95"/>
      <c r="CS28" s="14"/>
      <c r="CT28" s="144"/>
      <c r="CU28" s="14"/>
      <c r="CV28" s="28" t="str">
        <f>IF(CT28&lt;&gt;"",CT28/CT$7,"")</f>
        <v/>
      </c>
      <c r="CX28" s="90" t="str">
        <f t="shared" si="39"/>
        <v/>
      </c>
    </row>
    <row r="29" spans="1:102" ht="15.6" x14ac:dyDescent="0.3">
      <c r="B29" s="47"/>
      <c r="C29" s="21" t="s">
        <v>53</v>
      </c>
      <c r="D29" s="70" t="e">
        <f t="shared" si="40"/>
        <v>#DIV/0!</v>
      </c>
      <c r="E29" s="130">
        <f t="shared" si="41"/>
        <v>0</v>
      </c>
      <c r="F29" s="73" t="str">
        <f t="shared" si="42"/>
        <v/>
      </c>
      <c r="H29" s="96"/>
      <c r="J29" s="145"/>
      <c r="L29" s="28" t="str">
        <f>IF(J29&lt;&gt;"",J29/J$7,"")</f>
        <v/>
      </c>
      <c r="N29" s="90" t="str">
        <f t="shared" si="43"/>
        <v/>
      </c>
      <c r="P29" s="96"/>
      <c r="Q29" s="14"/>
      <c r="R29" s="145"/>
      <c r="S29" s="14"/>
      <c r="T29" s="28" t="str">
        <f>IF(R29&lt;&gt;"",R29/R$7,"")</f>
        <v/>
      </c>
      <c r="V29" s="90" t="str">
        <f t="shared" si="29"/>
        <v/>
      </c>
      <c r="X29" s="96"/>
      <c r="Y29" s="14"/>
      <c r="Z29" s="145"/>
      <c r="AA29" s="14"/>
      <c r="AB29" s="28" t="str">
        <f>IF(Z29&lt;&gt;"",Z29/Z$7,"")</f>
        <v/>
      </c>
      <c r="AC29" s="14"/>
      <c r="AD29" s="90" t="str">
        <f t="shared" si="30"/>
        <v/>
      </c>
      <c r="AF29" s="96"/>
      <c r="AG29" s="14"/>
      <c r="AH29" s="145"/>
      <c r="AI29" s="14"/>
      <c r="AJ29" s="28" t="str">
        <f>IF(AH29&lt;&gt;"",AH29/AH$7,"")</f>
        <v/>
      </c>
      <c r="AL29" s="90" t="str">
        <f t="shared" si="31"/>
        <v/>
      </c>
      <c r="AN29" s="96"/>
      <c r="AO29" s="14"/>
      <c r="AP29" s="145"/>
      <c r="AQ29" s="14"/>
      <c r="AR29" s="28" t="str">
        <f>IF(AP29&lt;&gt;"",AP29/AP$7,"")</f>
        <v/>
      </c>
      <c r="AT29" s="90" t="str">
        <f t="shared" si="32"/>
        <v/>
      </c>
      <c r="AV29" s="96"/>
      <c r="AW29" s="14"/>
      <c r="AX29" s="145"/>
      <c r="AY29" s="14"/>
      <c r="AZ29" s="28" t="str">
        <f>IF(AX29&lt;&gt;"",AX29/AX$7,"")</f>
        <v/>
      </c>
      <c r="BB29" s="90" t="str">
        <f t="shared" si="33"/>
        <v/>
      </c>
      <c r="BD29" s="96"/>
      <c r="BE29" s="14"/>
      <c r="BF29" s="145"/>
      <c r="BG29" s="14"/>
      <c r="BH29" s="28" t="str">
        <f>IF(BF29&lt;&gt;"",BF29/BF$7,"")</f>
        <v/>
      </c>
      <c r="BJ29" s="90" t="str">
        <f t="shared" si="34"/>
        <v/>
      </c>
      <c r="BL29" s="96"/>
      <c r="BM29" s="14"/>
      <c r="BN29" s="145"/>
      <c r="BO29" s="14"/>
      <c r="BP29" s="28" t="str">
        <f>IF(BN29&lt;&gt;"",BN29/BN$7,"")</f>
        <v/>
      </c>
      <c r="BR29" s="90" t="str">
        <f t="shared" si="35"/>
        <v/>
      </c>
      <c r="BT29" s="96"/>
      <c r="BU29" s="14"/>
      <c r="BV29" s="145"/>
      <c r="BW29" s="14"/>
      <c r="BX29" s="28" t="str">
        <f>IF(BV29&lt;&gt;"",BV29/BV$7,"")</f>
        <v/>
      </c>
      <c r="BZ29" s="90" t="str">
        <f t="shared" si="36"/>
        <v/>
      </c>
      <c r="CB29" s="96"/>
      <c r="CC29" s="14"/>
      <c r="CD29" s="145"/>
      <c r="CE29" s="14"/>
      <c r="CF29" s="28" t="str">
        <f>IF(CD29&lt;&gt;"",CD29/CD$7,"")</f>
        <v/>
      </c>
      <c r="CH29" s="90" t="str">
        <f t="shared" si="37"/>
        <v/>
      </c>
      <c r="CJ29" s="96"/>
      <c r="CK29" s="14"/>
      <c r="CL29" s="145"/>
      <c r="CM29" s="14"/>
      <c r="CN29" s="28" t="str">
        <f>IF(CL29&lt;&gt;"",CL29/CL$7,"")</f>
        <v/>
      </c>
      <c r="CP29" s="90" t="str">
        <f t="shared" si="38"/>
        <v/>
      </c>
      <c r="CR29" s="96"/>
      <c r="CS29" s="14"/>
      <c r="CT29" s="145"/>
      <c r="CU29" s="14"/>
      <c r="CV29" s="28" t="str">
        <f>IF(CT29&lt;&gt;"",CT29/CT$7,"")</f>
        <v/>
      </c>
      <c r="CX29" s="90" t="str">
        <f t="shared" si="39"/>
        <v/>
      </c>
    </row>
    <row r="30" spans="1:102" ht="15.6" x14ac:dyDescent="0.3">
      <c r="B30" s="47"/>
      <c r="C30" s="21" t="s">
        <v>125</v>
      </c>
      <c r="D30" s="70" t="e">
        <f t="shared" si="40"/>
        <v>#DIV/0!</v>
      </c>
      <c r="E30" s="130">
        <f t="shared" si="41"/>
        <v>0</v>
      </c>
      <c r="F30" s="73" t="str">
        <f t="shared" si="42"/>
        <v/>
      </c>
      <c r="H30" s="27"/>
      <c r="J30" s="146"/>
      <c r="L30" s="28" t="str">
        <f t="shared" ref="L30:L41" si="44">IF(J30&lt;&gt;"",J30/J$7,"")</f>
        <v/>
      </c>
      <c r="N30" s="90" t="str">
        <f t="shared" si="43"/>
        <v/>
      </c>
      <c r="P30" s="27"/>
      <c r="Q30" s="14"/>
      <c r="R30" s="146"/>
      <c r="S30" s="14"/>
      <c r="T30" s="28" t="str">
        <f t="shared" ref="T30:T41" si="45">IF(R30&lt;&gt;"",R30/R$7,"")</f>
        <v/>
      </c>
      <c r="V30" s="90" t="str">
        <f t="shared" si="29"/>
        <v/>
      </c>
      <c r="X30" s="27"/>
      <c r="Y30" s="14"/>
      <c r="Z30" s="146"/>
      <c r="AA30" s="14"/>
      <c r="AB30" s="28" t="str">
        <f t="shared" ref="AB30:AB41" si="46">IF(Z30&lt;&gt;"",Z30/Z$7,"")</f>
        <v/>
      </c>
      <c r="AC30" s="14"/>
      <c r="AD30" s="90" t="str">
        <f t="shared" si="30"/>
        <v/>
      </c>
      <c r="AF30" s="27"/>
      <c r="AG30" s="14"/>
      <c r="AH30" s="146"/>
      <c r="AI30" s="14"/>
      <c r="AJ30" s="28" t="str">
        <f t="shared" ref="AJ30:AJ41" si="47">IF(AH30&lt;&gt;"",AH30/AH$7,"")</f>
        <v/>
      </c>
      <c r="AL30" s="90" t="str">
        <f t="shared" si="31"/>
        <v/>
      </c>
      <c r="AN30" s="27"/>
      <c r="AO30" s="14"/>
      <c r="AP30" s="146"/>
      <c r="AQ30" s="14"/>
      <c r="AR30" s="28" t="str">
        <f t="shared" ref="AR30:AR41" si="48">IF(AP30&lt;&gt;"",AP30/AP$7,"")</f>
        <v/>
      </c>
      <c r="AT30" s="90" t="str">
        <f t="shared" si="32"/>
        <v/>
      </c>
      <c r="AV30" s="27"/>
      <c r="AW30" s="14"/>
      <c r="AX30" s="146"/>
      <c r="AY30" s="14"/>
      <c r="AZ30" s="28" t="str">
        <f t="shared" ref="AZ30:AZ41" si="49">IF(AX30&lt;&gt;"",AX30/AX$7,"")</f>
        <v/>
      </c>
      <c r="BB30" s="90" t="str">
        <f t="shared" si="33"/>
        <v/>
      </c>
      <c r="BD30" s="27"/>
      <c r="BE30" s="14"/>
      <c r="BF30" s="146"/>
      <c r="BG30" s="14"/>
      <c r="BH30" s="28" t="str">
        <f t="shared" ref="BH30:BH41" si="50">IF(BF30&lt;&gt;"",BF30/BF$7,"")</f>
        <v/>
      </c>
      <c r="BJ30" s="90" t="str">
        <f t="shared" si="34"/>
        <v/>
      </c>
      <c r="BL30" s="27"/>
      <c r="BM30" s="14"/>
      <c r="BN30" s="146"/>
      <c r="BO30" s="14"/>
      <c r="BP30" s="28" t="str">
        <f t="shared" ref="BP30:BP41" si="51">IF(BN30&lt;&gt;"",BN30/BN$7,"")</f>
        <v/>
      </c>
      <c r="BR30" s="90" t="str">
        <f t="shared" si="35"/>
        <v/>
      </c>
      <c r="BT30" s="27"/>
      <c r="BU30" s="14"/>
      <c r="BV30" s="146"/>
      <c r="BW30" s="14"/>
      <c r="BX30" s="28" t="str">
        <f t="shared" ref="BX30:BX41" si="52">IF(BV30&lt;&gt;"",BV30/BV$7,"")</f>
        <v/>
      </c>
      <c r="BZ30" s="90" t="str">
        <f t="shared" si="36"/>
        <v/>
      </c>
      <c r="CB30" s="27"/>
      <c r="CC30" s="14"/>
      <c r="CD30" s="146"/>
      <c r="CE30" s="14"/>
      <c r="CF30" s="28" t="str">
        <f t="shared" ref="CF30:CF41" si="53">IF(CD30&lt;&gt;"",CD30/CD$7,"")</f>
        <v/>
      </c>
      <c r="CH30" s="90" t="str">
        <f t="shared" si="37"/>
        <v/>
      </c>
      <c r="CJ30" s="27"/>
      <c r="CK30" s="14"/>
      <c r="CL30" s="146"/>
      <c r="CM30" s="14"/>
      <c r="CN30" s="28" t="str">
        <f t="shared" ref="CN30:CN41" si="54">IF(CL30&lt;&gt;"",CL30/CL$7,"")</f>
        <v/>
      </c>
      <c r="CP30" s="90" t="str">
        <f t="shared" si="38"/>
        <v/>
      </c>
      <c r="CR30" s="27"/>
      <c r="CS30" s="14"/>
      <c r="CT30" s="146"/>
      <c r="CU30" s="14"/>
      <c r="CV30" s="28" t="str">
        <f t="shared" ref="CV30:CV41" si="55">IF(CT30&lt;&gt;"",CT30/CT$7,"")</f>
        <v/>
      </c>
      <c r="CX30" s="90" t="str">
        <f t="shared" si="39"/>
        <v/>
      </c>
    </row>
    <row r="31" spans="1:102" ht="15.6" x14ac:dyDescent="0.3">
      <c r="B31" s="47"/>
      <c r="C31" s="21" t="s">
        <v>82</v>
      </c>
      <c r="D31" s="70" t="e">
        <f t="shared" si="40"/>
        <v>#DIV/0!</v>
      </c>
      <c r="E31" s="130">
        <f t="shared" si="41"/>
        <v>0</v>
      </c>
      <c r="F31" s="73" t="str">
        <f t="shared" si="42"/>
        <v/>
      </c>
      <c r="H31" s="27"/>
      <c r="J31" s="146"/>
      <c r="L31" s="28" t="str">
        <f t="shared" si="44"/>
        <v/>
      </c>
      <c r="N31" s="90" t="str">
        <f t="shared" si="43"/>
        <v/>
      </c>
      <c r="P31" s="27"/>
      <c r="Q31" s="14"/>
      <c r="R31" s="146"/>
      <c r="S31" s="14"/>
      <c r="T31" s="28" t="str">
        <f t="shared" si="45"/>
        <v/>
      </c>
      <c r="V31" s="90"/>
      <c r="X31" s="27"/>
      <c r="Y31" s="14"/>
      <c r="Z31" s="146"/>
      <c r="AA31" s="14"/>
      <c r="AB31" s="28" t="str">
        <f t="shared" si="46"/>
        <v/>
      </c>
      <c r="AC31" s="14"/>
      <c r="AD31" s="90"/>
      <c r="AF31" s="27"/>
      <c r="AG31" s="14"/>
      <c r="AH31" s="146"/>
      <c r="AI31" s="14"/>
      <c r="AJ31" s="28" t="str">
        <f t="shared" si="47"/>
        <v/>
      </c>
      <c r="AL31" s="90"/>
      <c r="AN31" s="27"/>
      <c r="AO31" s="14"/>
      <c r="AP31" s="146"/>
      <c r="AQ31" s="14"/>
      <c r="AR31" s="28" t="str">
        <f t="shared" si="48"/>
        <v/>
      </c>
      <c r="AT31" s="90"/>
      <c r="AV31" s="27"/>
      <c r="AW31" s="14"/>
      <c r="AX31" s="146"/>
      <c r="AY31" s="14"/>
      <c r="AZ31" s="28" t="str">
        <f t="shared" si="49"/>
        <v/>
      </c>
      <c r="BB31" s="90"/>
      <c r="BD31" s="27"/>
      <c r="BE31" s="14"/>
      <c r="BF31" s="146"/>
      <c r="BG31" s="14"/>
      <c r="BH31" s="28" t="str">
        <f t="shared" si="50"/>
        <v/>
      </c>
      <c r="BJ31" s="90"/>
      <c r="BL31" s="27"/>
      <c r="BM31" s="14"/>
      <c r="BN31" s="146"/>
      <c r="BO31" s="14"/>
      <c r="BP31" s="28" t="str">
        <f t="shared" si="51"/>
        <v/>
      </c>
      <c r="BR31" s="90"/>
      <c r="BT31" s="27"/>
      <c r="BU31" s="14"/>
      <c r="BV31" s="146"/>
      <c r="BW31" s="14"/>
      <c r="BX31" s="28" t="str">
        <f t="shared" si="52"/>
        <v/>
      </c>
      <c r="BZ31" s="90"/>
      <c r="CB31" s="27"/>
      <c r="CC31" s="14"/>
      <c r="CD31" s="146"/>
      <c r="CE31" s="14"/>
      <c r="CF31" s="28" t="str">
        <f t="shared" si="53"/>
        <v/>
      </c>
      <c r="CH31" s="90"/>
      <c r="CJ31" s="27"/>
      <c r="CK31" s="14"/>
      <c r="CL31" s="146"/>
      <c r="CM31" s="14"/>
      <c r="CN31" s="28" t="str">
        <f t="shared" si="54"/>
        <v/>
      </c>
      <c r="CP31" s="90"/>
      <c r="CR31" s="27"/>
      <c r="CS31" s="14"/>
      <c r="CT31" s="146"/>
      <c r="CU31" s="14"/>
      <c r="CV31" s="28" t="str">
        <f t="shared" si="55"/>
        <v/>
      </c>
      <c r="CX31" s="90"/>
    </row>
    <row r="32" spans="1:102" ht="15.6" x14ac:dyDescent="0.3">
      <c r="B32" s="47"/>
      <c r="C32" s="21" t="s">
        <v>112</v>
      </c>
      <c r="D32" s="70" t="e">
        <f t="shared" si="40"/>
        <v>#DIV/0!</v>
      </c>
      <c r="E32" s="130">
        <f t="shared" si="41"/>
        <v>0</v>
      </c>
      <c r="F32" s="73" t="str">
        <f t="shared" si="42"/>
        <v/>
      </c>
      <c r="H32" s="96"/>
      <c r="J32" s="145"/>
      <c r="L32" s="28" t="str">
        <f t="shared" si="44"/>
        <v/>
      </c>
      <c r="N32" s="90" t="str">
        <f t="shared" si="43"/>
        <v/>
      </c>
      <c r="P32" s="96"/>
      <c r="Q32" s="14"/>
      <c r="R32" s="145"/>
      <c r="S32" s="14"/>
      <c r="T32" s="28" t="str">
        <f t="shared" si="45"/>
        <v/>
      </c>
      <c r="V32" s="90" t="str">
        <f t="shared" si="29"/>
        <v/>
      </c>
      <c r="X32" s="96"/>
      <c r="Y32" s="14"/>
      <c r="Z32" s="145"/>
      <c r="AA32" s="14"/>
      <c r="AB32" s="28" t="str">
        <f t="shared" si="46"/>
        <v/>
      </c>
      <c r="AC32" s="14"/>
      <c r="AD32" s="90" t="str">
        <f t="shared" si="30"/>
        <v/>
      </c>
      <c r="AF32" s="96"/>
      <c r="AG32" s="14"/>
      <c r="AH32" s="145"/>
      <c r="AI32" s="14"/>
      <c r="AJ32" s="28" t="str">
        <f t="shared" si="47"/>
        <v/>
      </c>
      <c r="AL32" s="90" t="str">
        <f t="shared" si="31"/>
        <v/>
      </c>
      <c r="AN32" s="96"/>
      <c r="AO32" s="14"/>
      <c r="AP32" s="145"/>
      <c r="AQ32" s="14"/>
      <c r="AR32" s="28" t="str">
        <f t="shared" si="48"/>
        <v/>
      </c>
      <c r="AT32" s="90" t="str">
        <f t="shared" si="32"/>
        <v/>
      </c>
      <c r="AV32" s="96"/>
      <c r="AW32" s="14"/>
      <c r="AX32" s="145"/>
      <c r="AY32" s="14"/>
      <c r="AZ32" s="28" t="str">
        <f t="shared" si="49"/>
        <v/>
      </c>
      <c r="BB32" s="90" t="str">
        <f t="shared" si="33"/>
        <v/>
      </c>
      <c r="BD32" s="96"/>
      <c r="BE32" s="14"/>
      <c r="BF32" s="145"/>
      <c r="BG32" s="14"/>
      <c r="BH32" s="28" t="str">
        <f t="shared" si="50"/>
        <v/>
      </c>
      <c r="BJ32" s="90" t="str">
        <f t="shared" si="34"/>
        <v/>
      </c>
      <c r="BL32" s="96"/>
      <c r="BM32" s="14"/>
      <c r="BN32" s="145"/>
      <c r="BO32" s="14"/>
      <c r="BP32" s="28" t="str">
        <f t="shared" si="51"/>
        <v/>
      </c>
      <c r="BR32" s="90" t="str">
        <f t="shared" si="35"/>
        <v/>
      </c>
      <c r="BT32" s="96"/>
      <c r="BU32" s="14"/>
      <c r="BV32" s="145"/>
      <c r="BW32" s="14"/>
      <c r="BX32" s="28" t="str">
        <f t="shared" si="52"/>
        <v/>
      </c>
      <c r="BZ32" s="90" t="str">
        <f t="shared" si="36"/>
        <v/>
      </c>
      <c r="CB32" s="96"/>
      <c r="CC32" s="14"/>
      <c r="CD32" s="145"/>
      <c r="CE32" s="14"/>
      <c r="CF32" s="28" t="str">
        <f t="shared" si="53"/>
        <v/>
      </c>
      <c r="CH32" s="90" t="str">
        <f t="shared" si="37"/>
        <v/>
      </c>
      <c r="CJ32" s="96"/>
      <c r="CK32" s="14"/>
      <c r="CL32" s="145"/>
      <c r="CM32" s="14"/>
      <c r="CN32" s="28" t="str">
        <f t="shared" si="54"/>
        <v/>
      </c>
      <c r="CP32" s="90" t="str">
        <f t="shared" si="38"/>
        <v/>
      </c>
      <c r="CR32" s="96"/>
      <c r="CS32" s="14"/>
      <c r="CT32" s="145"/>
      <c r="CU32" s="14"/>
      <c r="CV32" s="28" t="str">
        <f t="shared" si="55"/>
        <v/>
      </c>
      <c r="CX32" s="90" t="str">
        <f t="shared" si="39"/>
        <v/>
      </c>
    </row>
    <row r="33" spans="1:102" ht="15.6" x14ac:dyDescent="0.3">
      <c r="B33" s="47"/>
      <c r="C33" s="21" t="s">
        <v>113</v>
      </c>
      <c r="D33" s="70" t="e">
        <f t="shared" si="40"/>
        <v>#DIV/0!</v>
      </c>
      <c r="E33" s="130">
        <f t="shared" si="41"/>
        <v>0</v>
      </c>
      <c r="F33" s="73" t="str">
        <f t="shared" si="42"/>
        <v/>
      </c>
      <c r="H33" s="96"/>
      <c r="J33" s="145"/>
      <c r="L33" s="28" t="str">
        <f t="shared" si="44"/>
        <v/>
      </c>
      <c r="N33" s="90" t="str">
        <f t="shared" si="43"/>
        <v/>
      </c>
      <c r="P33" s="96"/>
      <c r="Q33" s="14"/>
      <c r="R33" s="145"/>
      <c r="S33" s="14"/>
      <c r="T33" s="28" t="str">
        <f t="shared" si="45"/>
        <v/>
      </c>
      <c r="V33" s="90" t="str">
        <f t="shared" si="29"/>
        <v/>
      </c>
      <c r="X33" s="96"/>
      <c r="Y33" s="14"/>
      <c r="Z33" s="145"/>
      <c r="AA33" s="14"/>
      <c r="AB33" s="28" t="str">
        <f t="shared" si="46"/>
        <v/>
      </c>
      <c r="AC33" s="14"/>
      <c r="AD33" s="90" t="str">
        <f t="shared" si="30"/>
        <v/>
      </c>
      <c r="AF33" s="96"/>
      <c r="AG33" s="14"/>
      <c r="AH33" s="145"/>
      <c r="AI33" s="14"/>
      <c r="AJ33" s="28" t="str">
        <f t="shared" si="47"/>
        <v/>
      </c>
      <c r="AL33" s="90" t="str">
        <f t="shared" si="31"/>
        <v/>
      </c>
      <c r="AN33" s="96"/>
      <c r="AO33" s="14"/>
      <c r="AP33" s="145"/>
      <c r="AQ33" s="14"/>
      <c r="AR33" s="28" t="str">
        <f t="shared" si="48"/>
        <v/>
      </c>
      <c r="AT33" s="90" t="str">
        <f t="shared" si="32"/>
        <v/>
      </c>
      <c r="AV33" s="96"/>
      <c r="AW33" s="14"/>
      <c r="AX33" s="145"/>
      <c r="AY33" s="14"/>
      <c r="AZ33" s="28" t="str">
        <f t="shared" si="49"/>
        <v/>
      </c>
      <c r="BB33" s="90" t="str">
        <f t="shared" si="33"/>
        <v/>
      </c>
      <c r="BD33" s="96"/>
      <c r="BE33" s="14"/>
      <c r="BF33" s="145"/>
      <c r="BG33" s="14"/>
      <c r="BH33" s="28" t="str">
        <f t="shared" si="50"/>
        <v/>
      </c>
      <c r="BJ33" s="90" t="str">
        <f t="shared" si="34"/>
        <v/>
      </c>
      <c r="BL33" s="96"/>
      <c r="BM33" s="14"/>
      <c r="BN33" s="145"/>
      <c r="BO33" s="14"/>
      <c r="BP33" s="28" t="str">
        <f t="shared" si="51"/>
        <v/>
      </c>
      <c r="BR33" s="90" t="str">
        <f t="shared" si="35"/>
        <v/>
      </c>
      <c r="BT33" s="96"/>
      <c r="BU33" s="14"/>
      <c r="BV33" s="145"/>
      <c r="BW33" s="14"/>
      <c r="BX33" s="28" t="str">
        <f t="shared" si="52"/>
        <v/>
      </c>
      <c r="BZ33" s="90" t="str">
        <f t="shared" si="36"/>
        <v/>
      </c>
      <c r="CB33" s="96"/>
      <c r="CC33" s="14"/>
      <c r="CD33" s="145"/>
      <c r="CE33" s="14"/>
      <c r="CF33" s="28" t="str">
        <f t="shared" si="53"/>
        <v/>
      </c>
      <c r="CH33" s="90" t="str">
        <f t="shared" si="37"/>
        <v/>
      </c>
      <c r="CJ33" s="96"/>
      <c r="CK33" s="14"/>
      <c r="CL33" s="145"/>
      <c r="CM33" s="14"/>
      <c r="CN33" s="28" t="str">
        <f t="shared" si="54"/>
        <v/>
      </c>
      <c r="CP33" s="90" t="str">
        <f t="shared" si="38"/>
        <v/>
      </c>
      <c r="CR33" s="96"/>
      <c r="CS33" s="14"/>
      <c r="CT33" s="145"/>
      <c r="CU33" s="14"/>
      <c r="CV33" s="28" t="str">
        <f t="shared" si="55"/>
        <v/>
      </c>
      <c r="CX33" s="90" t="str">
        <f t="shared" si="39"/>
        <v/>
      </c>
    </row>
    <row r="34" spans="1:102" ht="15.6" x14ac:dyDescent="0.3">
      <c r="B34" s="47"/>
      <c r="C34" s="21" t="s">
        <v>19</v>
      </c>
      <c r="D34" s="70" t="e">
        <f t="shared" si="40"/>
        <v>#DIV/0!</v>
      </c>
      <c r="E34" s="130">
        <f t="shared" si="41"/>
        <v>0</v>
      </c>
      <c r="F34" s="73" t="str">
        <f t="shared" si="42"/>
        <v/>
      </c>
      <c r="H34" s="96"/>
      <c r="J34" s="145"/>
      <c r="L34" s="28" t="str">
        <f t="shared" si="44"/>
        <v/>
      </c>
      <c r="N34" s="90" t="str">
        <f t="shared" si="43"/>
        <v/>
      </c>
      <c r="P34" s="96"/>
      <c r="Q34" s="14"/>
      <c r="R34" s="145"/>
      <c r="S34" s="14"/>
      <c r="T34" s="28" t="str">
        <f t="shared" si="45"/>
        <v/>
      </c>
      <c r="V34" s="90" t="str">
        <f t="shared" si="29"/>
        <v/>
      </c>
      <c r="X34" s="96"/>
      <c r="Y34" s="14"/>
      <c r="Z34" s="145"/>
      <c r="AA34" s="14"/>
      <c r="AB34" s="28" t="str">
        <f t="shared" si="46"/>
        <v/>
      </c>
      <c r="AC34" s="14"/>
      <c r="AD34" s="90" t="str">
        <f t="shared" si="30"/>
        <v/>
      </c>
      <c r="AF34" s="96"/>
      <c r="AG34" s="14"/>
      <c r="AH34" s="145"/>
      <c r="AI34" s="14"/>
      <c r="AJ34" s="28" t="str">
        <f t="shared" si="47"/>
        <v/>
      </c>
      <c r="AL34" s="90" t="str">
        <f t="shared" si="31"/>
        <v/>
      </c>
      <c r="AN34" s="96"/>
      <c r="AO34" s="14"/>
      <c r="AP34" s="145"/>
      <c r="AQ34" s="14"/>
      <c r="AR34" s="28" t="str">
        <f t="shared" si="48"/>
        <v/>
      </c>
      <c r="AT34" s="90"/>
      <c r="AV34" s="96"/>
      <c r="AW34" s="14"/>
      <c r="AX34" s="145"/>
      <c r="AY34" s="14"/>
      <c r="AZ34" s="28" t="str">
        <f t="shared" si="49"/>
        <v/>
      </c>
      <c r="BB34" s="90" t="str">
        <f t="shared" si="33"/>
        <v/>
      </c>
      <c r="BD34" s="96"/>
      <c r="BE34" s="14"/>
      <c r="BF34" s="145"/>
      <c r="BG34" s="14"/>
      <c r="BH34" s="28" t="str">
        <f t="shared" si="50"/>
        <v/>
      </c>
      <c r="BJ34" s="90" t="str">
        <f t="shared" si="34"/>
        <v/>
      </c>
      <c r="BL34" s="96"/>
      <c r="BM34" s="14"/>
      <c r="BN34" s="145"/>
      <c r="BO34" s="14"/>
      <c r="BP34" s="28" t="str">
        <f t="shared" si="51"/>
        <v/>
      </c>
      <c r="BR34" s="90" t="str">
        <f t="shared" si="35"/>
        <v/>
      </c>
      <c r="BT34" s="96"/>
      <c r="BU34" s="14"/>
      <c r="BV34" s="145"/>
      <c r="BW34" s="14"/>
      <c r="BX34" s="28" t="str">
        <f t="shared" si="52"/>
        <v/>
      </c>
      <c r="BZ34" s="90" t="str">
        <f t="shared" si="36"/>
        <v/>
      </c>
      <c r="CB34" s="96"/>
      <c r="CC34" s="14"/>
      <c r="CD34" s="145"/>
      <c r="CE34" s="14"/>
      <c r="CF34" s="28" t="str">
        <f t="shared" si="53"/>
        <v/>
      </c>
      <c r="CH34" s="90" t="str">
        <f t="shared" si="37"/>
        <v/>
      </c>
      <c r="CJ34" s="96"/>
      <c r="CK34" s="14"/>
      <c r="CL34" s="145"/>
      <c r="CM34" s="14"/>
      <c r="CN34" s="28" t="str">
        <f t="shared" si="54"/>
        <v/>
      </c>
      <c r="CP34" s="90" t="str">
        <f t="shared" si="38"/>
        <v/>
      </c>
      <c r="CR34" s="96"/>
      <c r="CS34" s="14"/>
      <c r="CT34" s="145"/>
      <c r="CU34" s="14"/>
      <c r="CV34" s="28" t="str">
        <f t="shared" si="55"/>
        <v/>
      </c>
      <c r="CX34" s="90"/>
    </row>
    <row r="35" spans="1:102" ht="15.6" x14ac:dyDescent="0.3">
      <c r="B35" s="47"/>
      <c r="C35" s="21" t="s">
        <v>20</v>
      </c>
      <c r="D35" s="70" t="e">
        <f t="shared" si="40"/>
        <v>#DIV/0!</v>
      </c>
      <c r="E35" s="130">
        <f t="shared" si="41"/>
        <v>0</v>
      </c>
      <c r="F35" s="73" t="str">
        <f t="shared" si="42"/>
        <v/>
      </c>
      <c r="H35" s="96"/>
      <c r="J35" s="145"/>
      <c r="L35" s="28" t="str">
        <f t="shared" si="44"/>
        <v/>
      </c>
      <c r="N35" s="90" t="str">
        <f t="shared" si="43"/>
        <v/>
      </c>
      <c r="P35" s="96"/>
      <c r="Q35" s="14"/>
      <c r="R35" s="145"/>
      <c r="S35" s="14"/>
      <c r="T35" s="28" t="str">
        <f t="shared" si="45"/>
        <v/>
      </c>
      <c r="V35" s="90" t="str">
        <f t="shared" si="29"/>
        <v/>
      </c>
      <c r="X35" s="96"/>
      <c r="Y35" s="14"/>
      <c r="Z35" s="145"/>
      <c r="AA35" s="14"/>
      <c r="AB35" s="28" t="str">
        <f t="shared" si="46"/>
        <v/>
      </c>
      <c r="AC35" s="14"/>
      <c r="AD35" s="90" t="str">
        <f t="shared" si="30"/>
        <v/>
      </c>
      <c r="AF35" s="96"/>
      <c r="AG35" s="14"/>
      <c r="AH35" s="145"/>
      <c r="AI35" s="14"/>
      <c r="AJ35" s="28" t="str">
        <f t="shared" si="47"/>
        <v/>
      </c>
      <c r="AL35" s="90" t="str">
        <f t="shared" si="31"/>
        <v/>
      </c>
      <c r="AN35" s="96"/>
      <c r="AO35" s="14"/>
      <c r="AP35" s="145"/>
      <c r="AQ35" s="14"/>
      <c r="AR35" s="28" t="str">
        <f t="shared" si="48"/>
        <v/>
      </c>
      <c r="AT35" s="90"/>
      <c r="AV35" s="96"/>
      <c r="AW35" s="14"/>
      <c r="AX35" s="145"/>
      <c r="AY35" s="14"/>
      <c r="AZ35" s="28" t="str">
        <f t="shared" si="49"/>
        <v/>
      </c>
      <c r="BB35" s="90"/>
      <c r="BD35" s="96"/>
      <c r="BE35" s="14"/>
      <c r="BF35" s="145"/>
      <c r="BG35" s="14"/>
      <c r="BH35" s="28" t="str">
        <f t="shared" si="50"/>
        <v/>
      </c>
      <c r="BJ35" s="90"/>
      <c r="BL35" s="96"/>
      <c r="BM35" s="14"/>
      <c r="BN35" s="145"/>
      <c r="BO35" s="14"/>
      <c r="BP35" s="28" t="str">
        <f t="shared" si="51"/>
        <v/>
      </c>
      <c r="BR35" s="90" t="str">
        <f t="shared" si="35"/>
        <v/>
      </c>
      <c r="BT35" s="96"/>
      <c r="BU35" s="14"/>
      <c r="BV35" s="145"/>
      <c r="BW35" s="14"/>
      <c r="BX35" s="28" t="str">
        <f t="shared" si="52"/>
        <v/>
      </c>
      <c r="BZ35" s="90" t="str">
        <f t="shared" si="36"/>
        <v/>
      </c>
      <c r="CB35" s="96"/>
      <c r="CC35" s="14"/>
      <c r="CD35" s="145"/>
      <c r="CE35" s="14"/>
      <c r="CF35" s="28" t="str">
        <f t="shared" si="53"/>
        <v/>
      </c>
      <c r="CH35" s="90" t="str">
        <f t="shared" si="37"/>
        <v/>
      </c>
      <c r="CJ35" s="96"/>
      <c r="CK35" s="14"/>
      <c r="CL35" s="145"/>
      <c r="CM35" s="14"/>
      <c r="CN35" s="28" t="str">
        <f t="shared" si="54"/>
        <v/>
      </c>
      <c r="CP35" s="90" t="str">
        <f t="shared" si="38"/>
        <v/>
      </c>
      <c r="CR35" s="96"/>
      <c r="CS35" s="14"/>
      <c r="CT35" s="145"/>
      <c r="CU35" s="14"/>
      <c r="CV35" s="28" t="str">
        <f t="shared" si="55"/>
        <v/>
      </c>
      <c r="CX35" s="90"/>
    </row>
    <row r="36" spans="1:102" ht="15.6" x14ac:dyDescent="0.3">
      <c r="B36" s="47"/>
      <c r="C36" s="21" t="s">
        <v>119</v>
      </c>
      <c r="D36" s="70" t="e">
        <f t="shared" si="40"/>
        <v>#DIV/0!</v>
      </c>
      <c r="E36" s="130">
        <f t="shared" si="41"/>
        <v>0</v>
      </c>
      <c r="F36" s="73" t="str">
        <f t="shared" si="42"/>
        <v/>
      </c>
      <c r="H36" s="96"/>
      <c r="J36" s="145"/>
      <c r="L36" s="28" t="str">
        <f t="shared" si="44"/>
        <v/>
      </c>
      <c r="N36" s="90" t="str">
        <f t="shared" si="43"/>
        <v/>
      </c>
      <c r="P36" s="96"/>
      <c r="Q36" s="14"/>
      <c r="R36" s="145"/>
      <c r="S36" s="14"/>
      <c r="T36" s="28" t="str">
        <f t="shared" si="45"/>
        <v/>
      </c>
      <c r="V36" s="90" t="str">
        <f t="shared" si="29"/>
        <v/>
      </c>
      <c r="X36" s="96"/>
      <c r="Y36" s="14"/>
      <c r="Z36" s="145"/>
      <c r="AA36" s="14"/>
      <c r="AB36" s="28" t="str">
        <f t="shared" si="46"/>
        <v/>
      </c>
      <c r="AC36" s="14"/>
      <c r="AD36" s="90" t="str">
        <f t="shared" si="30"/>
        <v/>
      </c>
      <c r="AF36" s="96"/>
      <c r="AG36" s="14"/>
      <c r="AH36" s="145"/>
      <c r="AI36" s="14"/>
      <c r="AJ36" s="28" t="str">
        <f t="shared" si="47"/>
        <v/>
      </c>
      <c r="AL36" s="90" t="str">
        <f t="shared" si="31"/>
        <v/>
      </c>
      <c r="AN36" s="96"/>
      <c r="AO36" s="14"/>
      <c r="AP36" s="145"/>
      <c r="AQ36" s="14"/>
      <c r="AR36" s="28" t="str">
        <f t="shared" si="48"/>
        <v/>
      </c>
      <c r="AT36" s="90"/>
      <c r="AV36" s="96"/>
      <c r="AW36" s="14"/>
      <c r="AX36" s="145"/>
      <c r="AY36" s="14"/>
      <c r="AZ36" s="28" t="str">
        <f t="shared" si="49"/>
        <v/>
      </c>
      <c r="BB36" s="90"/>
      <c r="BD36" s="96"/>
      <c r="BE36" s="14"/>
      <c r="BF36" s="145"/>
      <c r="BG36" s="14"/>
      <c r="BH36" s="28" t="str">
        <f t="shared" si="50"/>
        <v/>
      </c>
      <c r="BJ36" s="90"/>
      <c r="BL36" s="96"/>
      <c r="BM36" s="14"/>
      <c r="BN36" s="145"/>
      <c r="BO36" s="14"/>
      <c r="BP36" s="28" t="str">
        <f t="shared" si="51"/>
        <v/>
      </c>
      <c r="BR36" s="90" t="str">
        <f t="shared" si="35"/>
        <v/>
      </c>
      <c r="BT36" s="96"/>
      <c r="BU36" s="14"/>
      <c r="BV36" s="145"/>
      <c r="BW36" s="14"/>
      <c r="BX36" s="28" t="str">
        <f t="shared" si="52"/>
        <v/>
      </c>
      <c r="BZ36" s="90" t="str">
        <f t="shared" si="36"/>
        <v/>
      </c>
      <c r="CB36" s="96"/>
      <c r="CC36" s="14"/>
      <c r="CD36" s="145"/>
      <c r="CE36" s="14"/>
      <c r="CF36" s="28" t="str">
        <f t="shared" si="53"/>
        <v/>
      </c>
      <c r="CH36" s="90" t="str">
        <f t="shared" si="37"/>
        <v/>
      </c>
      <c r="CJ36" s="96"/>
      <c r="CK36" s="14"/>
      <c r="CL36" s="145"/>
      <c r="CM36" s="14"/>
      <c r="CN36" s="28" t="str">
        <f t="shared" si="54"/>
        <v/>
      </c>
      <c r="CP36" s="90" t="str">
        <f t="shared" si="38"/>
        <v/>
      </c>
      <c r="CR36" s="96"/>
      <c r="CS36" s="14"/>
      <c r="CT36" s="145"/>
      <c r="CU36" s="14"/>
      <c r="CV36" s="28" t="str">
        <f t="shared" si="55"/>
        <v/>
      </c>
      <c r="CX36" s="90"/>
    </row>
    <row r="37" spans="1:102" ht="15.6" x14ac:dyDescent="0.3">
      <c r="B37" s="47"/>
      <c r="C37" s="21" t="s">
        <v>116</v>
      </c>
      <c r="D37" s="70" t="e">
        <f t="shared" si="40"/>
        <v>#DIV/0!</v>
      </c>
      <c r="E37" s="130">
        <f t="shared" si="41"/>
        <v>0</v>
      </c>
      <c r="F37" s="73" t="str">
        <f t="shared" si="42"/>
        <v/>
      </c>
      <c r="H37" s="27"/>
      <c r="J37" s="146"/>
      <c r="L37" s="28" t="str">
        <f t="shared" si="44"/>
        <v/>
      </c>
      <c r="N37" s="90" t="str">
        <f t="shared" si="43"/>
        <v/>
      </c>
      <c r="P37" s="27"/>
      <c r="Q37" s="14"/>
      <c r="R37" s="146"/>
      <c r="S37" s="14"/>
      <c r="T37" s="28" t="str">
        <f t="shared" si="45"/>
        <v/>
      </c>
      <c r="V37" s="90" t="str">
        <f t="shared" si="29"/>
        <v/>
      </c>
      <c r="X37" s="27"/>
      <c r="Y37" s="14"/>
      <c r="Z37" s="146"/>
      <c r="AA37" s="14"/>
      <c r="AB37" s="28" t="str">
        <f t="shared" si="46"/>
        <v/>
      </c>
      <c r="AC37" s="14"/>
      <c r="AD37" s="90" t="str">
        <f t="shared" si="30"/>
        <v/>
      </c>
      <c r="AF37" s="27"/>
      <c r="AG37" s="14"/>
      <c r="AH37" s="146"/>
      <c r="AI37" s="14"/>
      <c r="AJ37" s="28" t="str">
        <f t="shared" si="47"/>
        <v/>
      </c>
      <c r="AL37" s="90" t="str">
        <f t="shared" si="31"/>
        <v/>
      </c>
      <c r="AN37" s="27"/>
      <c r="AO37" s="14"/>
      <c r="AP37" s="146"/>
      <c r="AQ37" s="14"/>
      <c r="AR37" s="28" t="str">
        <f t="shared" si="48"/>
        <v/>
      </c>
      <c r="AT37" s="90" t="str">
        <f t="shared" si="32"/>
        <v/>
      </c>
      <c r="AV37" s="27"/>
      <c r="AW37" s="14"/>
      <c r="AX37" s="146"/>
      <c r="AY37" s="14"/>
      <c r="AZ37" s="28" t="str">
        <f t="shared" si="49"/>
        <v/>
      </c>
      <c r="BB37" s="90" t="str">
        <f t="shared" si="33"/>
        <v/>
      </c>
      <c r="BD37" s="27"/>
      <c r="BE37" s="14"/>
      <c r="BF37" s="146"/>
      <c r="BG37" s="14"/>
      <c r="BH37" s="28" t="str">
        <f t="shared" si="50"/>
        <v/>
      </c>
      <c r="BJ37" s="90" t="str">
        <f t="shared" si="34"/>
        <v/>
      </c>
      <c r="BL37" s="27"/>
      <c r="BM37" s="14"/>
      <c r="BN37" s="146"/>
      <c r="BO37" s="14"/>
      <c r="BP37" s="28" t="str">
        <f t="shared" si="51"/>
        <v/>
      </c>
      <c r="BR37" s="90" t="str">
        <f t="shared" si="35"/>
        <v/>
      </c>
      <c r="BT37" s="27"/>
      <c r="BU37" s="14"/>
      <c r="BV37" s="146"/>
      <c r="BW37" s="14"/>
      <c r="BX37" s="28" t="str">
        <f t="shared" si="52"/>
        <v/>
      </c>
      <c r="BZ37" s="90" t="str">
        <f t="shared" si="36"/>
        <v/>
      </c>
      <c r="CB37" s="27"/>
      <c r="CC37" s="14"/>
      <c r="CD37" s="146"/>
      <c r="CE37" s="14"/>
      <c r="CF37" s="28" t="str">
        <f t="shared" si="53"/>
        <v/>
      </c>
      <c r="CH37" s="90" t="str">
        <f t="shared" si="37"/>
        <v/>
      </c>
      <c r="CJ37" s="27"/>
      <c r="CK37" s="14"/>
      <c r="CL37" s="146"/>
      <c r="CM37" s="14"/>
      <c r="CN37" s="28" t="str">
        <f t="shared" si="54"/>
        <v/>
      </c>
      <c r="CP37" s="90" t="str">
        <f t="shared" si="38"/>
        <v/>
      </c>
      <c r="CR37" s="27"/>
      <c r="CS37" s="14"/>
      <c r="CT37" s="146"/>
      <c r="CU37" s="14"/>
      <c r="CV37" s="28" t="str">
        <f t="shared" si="55"/>
        <v/>
      </c>
      <c r="CX37" s="90" t="str">
        <f t="shared" si="39"/>
        <v/>
      </c>
    </row>
    <row r="38" spans="1:102" ht="15.6" x14ac:dyDescent="0.3">
      <c r="B38" s="47"/>
      <c r="C38" s="21" t="s">
        <v>95</v>
      </c>
      <c r="D38" s="70" t="e">
        <f t="shared" si="40"/>
        <v>#DIV/0!</v>
      </c>
      <c r="E38" s="130">
        <f t="shared" si="41"/>
        <v>0</v>
      </c>
      <c r="F38" s="73" t="str">
        <f t="shared" si="42"/>
        <v/>
      </c>
      <c r="H38" s="96"/>
      <c r="J38" s="145"/>
      <c r="L38" s="28" t="str">
        <f t="shared" si="44"/>
        <v/>
      </c>
      <c r="N38" s="90" t="str">
        <f t="shared" si="43"/>
        <v/>
      </c>
      <c r="P38" s="96"/>
      <c r="Q38" s="14"/>
      <c r="R38" s="145"/>
      <c r="S38" s="14"/>
      <c r="T38" s="28" t="str">
        <f t="shared" si="45"/>
        <v/>
      </c>
      <c r="V38" s="90" t="str">
        <f t="shared" si="29"/>
        <v/>
      </c>
      <c r="X38" s="96"/>
      <c r="Y38" s="14"/>
      <c r="Z38" s="145"/>
      <c r="AA38" s="14"/>
      <c r="AB38" s="28" t="str">
        <f t="shared" si="46"/>
        <v/>
      </c>
      <c r="AC38" s="14"/>
      <c r="AD38" s="90" t="str">
        <f t="shared" si="30"/>
        <v/>
      </c>
      <c r="AF38" s="96"/>
      <c r="AG38" s="14"/>
      <c r="AH38" s="145"/>
      <c r="AI38" s="14"/>
      <c r="AJ38" s="28" t="str">
        <f t="shared" si="47"/>
        <v/>
      </c>
      <c r="AL38" s="90" t="str">
        <f t="shared" si="31"/>
        <v/>
      </c>
      <c r="AN38" s="96"/>
      <c r="AO38" s="14"/>
      <c r="AP38" s="145"/>
      <c r="AQ38" s="14"/>
      <c r="AR38" s="28" t="str">
        <f t="shared" si="48"/>
        <v/>
      </c>
      <c r="AT38" s="90" t="str">
        <f t="shared" si="32"/>
        <v/>
      </c>
      <c r="AV38" s="96"/>
      <c r="AW38" s="14"/>
      <c r="AX38" s="145"/>
      <c r="AY38" s="14"/>
      <c r="AZ38" s="28" t="str">
        <f t="shared" si="49"/>
        <v/>
      </c>
      <c r="BB38" s="90" t="str">
        <f t="shared" si="33"/>
        <v/>
      </c>
      <c r="BD38" s="96"/>
      <c r="BE38" s="14"/>
      <c r="BF38" s="145"/>
      <c r="BG38" s="14"/>
      <c r="BH38" s="28" t="str">
        <f t="shared" si="50"/>
        <v/>
      </c>
      <c r="BJ38" s="90" t="str">
        <f t="shared" si="34"/>
        <v/>
      </c>
      <c r="BL38" s="96"/>
      <c r="BM38" s="14"/>
      <c r="BN38" s="145"/>
      <c r="BO38" s="14"/>
      <c r="BP38" s="28" t="str">
        <f t="shared" si="51"/>
        <v/>
      </c>
      <c r="BR38" s="90" t="str">
        <f t="shared" si="35"/>
        <v/>
      </c>
      <c r="BT38" s="96"/>
      <c r="BU38" s="14"/>
      <c r="BV38" s="145"/>
      <c r="BW38" s="14"/>
      <c r="BX38" s="28" t="str">
        <f t="shared" si="52"/>
        <v/>
      </c>
      <c r="BZ38" s="90" t="str">
        <f t="shared" si="36"/>
        <v/>
      </c>
      <c r="CB38" s="96"/>
      <c r="CC38" s="14"/>
      <c r="CD38" s="145"/>
      <c r="CE38" s="14"/>
      <c r="CF38" s="28" t="str">
        <f t="shared" si="53"/>
        <v/>
      </c>
      <c r="CH38" s="90" t="str">
        <f t="shared" si="37"/>
        <v/>
      </c>
      <c r="CJ38" s="96"/>
      <c r="CK38" s="14"/>
      <c r="CL38" s="145"/>
      <c r="CM38" s="14"/>
      <c r="CN38" s="28" t="str">
        <f t="shared" si="54"/>
        <v/>
      </c>
      <c r="CP38" s="90" t="str">
        <f t="shared" si="38"/>
        <v/>
      </c>
      <c r="CR38" s="96"/>
      <c r="CS38" s="14"/>
      <c r="CT38" s="145"/>
      <c r="CU38" s="14"/>
      <c r="CV38" s="28" t="str">
        <f t="shared" si="55"/>
        <v/>
      </c>
      <c r="CX38" s="90" t="str">
        <f t="shared" si="39"/>
        <v/>
      </c>
    </row>
    <row r="39" spans="1:102" ht="15.6" x14ac:dyDescent="0.3">
      <c r="B39" s="47"/>
      <c r="C39" s="21" t="s">
        <v>92</v>
      </c>
      <c r="D39" s="70" t="e">
        <f t="shared" si="40"/>
        <v>#DIV/0!</v>
      </c>
      <c r="E39" s="130">
        <f t="shared" si="41"/>
        <v>0</v>
      </c>
      <c r="F39" s="73" t="str">
        <f t="shared" si="42"/>
        <v/>
      </c>
      <c r="H39" s="96"/>
      <c r="J39" s="145"/>
      <c r="L39" s="28" t="str">
        <f t="shared" si="44"/>
        <v/>
      </c>
      <c r="N39" s="90" t="str">
        <f t="shared" si="43"/>
        <v/>
      </c>
      <c r="P39" s="96"/>
      <c r="Q39" s="14"/>
      <c r="R39" s="145"/>
      <c r="S39" s="14"/>
      <c r="T39" s="28" t="str">
        <f t="shared" si="45"/>
        <v/>
      </c>
      <c r="V39" s="90" t="str">
        <f t="shared" si="29"/>
        <v/>
      </c>
      <c r="X39" s="96"/>
      <c r="Y39" s="14"/>
      <c r="Z39" s="145"/>
      <c r="AA39" s="14"/>
      <c r="AB39" s="28" t="str">
        <f t="shared" si="46"/>
        <v/>
      </c>
      <c r="AC39" s="14"/>
      <c r="AD39" s="90" t="str">
        <f t="shared" si="30"/>
        <v/>
      </c>
      <c r="AF39" s="96"/>
      <c r="AG39" s="14"/>
      <c r="AH39" s="145"/>
      <c r="AI39" s="14"/>
      <c r="AJ39" s="28" t="str">
        <f t="shared" si="47"/>
        <v/>
      </c>
      <c r="AL39" s="90" t="str">
        <f t="shared" si="31"/>
        <v/>
      </c>
      <c r="AN39" s="96"/>
      <c r="AO39" s="14"/>
      <c r="AP39" s="145"/>
      <c r="AQ39" s="14"/>
      <c r="AR39" s="28" t="str">
        <f t="shared" si="48"/>
        <v/>
      </c>
      <c r="AT39" s="90" t="str">
        <f t="shared" si="32"/>
        <v/>
      </c>
      <c r="AV39" s="96"/>
      <c r="AW39" s="14"/>
      <c r="AX39" s="145"/>
      <c r="AY39" s="14"/>
      <c r="AZ39" s="28" t="str">
        <f t="shared" si="49"/>
        <v/>
      </c>
      <c r="BB39" s="90" t="str">
        <f t="shared" si="33"/>
        <v/>
      </c>
      <c r="BD39" s="96"/>
      <c r="BE39" s="14"/>
      <c r="BF39" s="145"/>
      <c r="BG39" s="14"/>
      <c r="BH39" s="28" t="str">
        <f t="shared" si="50"/>
        <v/>
      </c>
      <c r="BJ39" s="90" t="str">
        <f t="shared" si="34"/>
        <v/>
      </c>
      <c r="BL39" s="96"/>
      <c r="BM39" s="14"/>
      <c r="BN39" s="145"/>
      <c r="BO39" s="14"/>
      <c r="BP39" s="28" t="str">
        <f t="shared" si="51"/>
        <v/>
      </c>
      <c r="BR39" s="90" t="str">
        <f t="shared" si="35"/>
        <v/>
      </c>
      <c r="BT39" s="96"/>
      <c r="BU39" s="14"/>
      <c r="BV39" s="145"/>
      <c r="BW39" s="14"/>
      <c r="BX39" s="28" t="str">
        <f t="shared" si="52"/>
        <v/>
      </c>
      <c r="BZ39" s="90" t="str">
        <f t="shared" si="36"/>
        <v/>
      </c>
      <c r="CB39" s="96"/>
      <c r="CC39" s="14"/>
      <c r="CD39" s="145"/>
      <c r="CE39" s="14"/>
      <c r="CF39" s="28" t="str">
        <f t="shared" si="53"/>
        <v/>
      </c>
      <c r="CH39" s="90" t="str">
        <f t="shared" si="37"/>
        <v/>
      </c>
      <c r="CJ39" s="96"/>
      <c r="CK39" s="14"/>
      <c r="CL39" s="145"/>
      <c r="CM39" s="14"/>
      <c r="CN39" s="28" t="str">
        <f t="shared" si="54"/>
        <v/>
      </c>
      <c r="CP39" s="90" t="str">
        <f t="shared" si="38"/>
        <v/>
      </c>
      <c r="CR39" s="96"/>
      <c r="CS39" s="14"/>
      <c r="CT39" s="145"/>
      <c r="CU39" s="14"/>
      <c r="CV39" s="28" t="str">
        <f t="shared" si="55"/>
        <v/>
      </c>
      <c r="CX39" s="90" t="str">
        <f t="shared" si="39"/>
        <v/>
      </c>
    </row>
    <row r="40" spans="1:102" ht="15.6" x14ac:dyDescent="0.3">
      <c r="B40" s="47"/>
      <c r="C40" s="22" t="s">
        <v>124</v>
      </c>
      <c r="D40" s="70" t="e">
        <f t="shared" si="40"/>
        <v>#DIV/0!</v>
      </c>
      <c r="E40" s="130">
        <f t="shared" si="41"/>
        <v>0</v>
      </c>
      <c r="F40" s="73" t="str">
        <f t="shared" si="42"/>
        <v/>
      </c>
      <c r="H40" s="27"/>
      <c r="J40" s="146"/>
      <c r="L40" s="28" t="str">
        <f>IF(J40&lt;&gt;"",J40/J$7,"")</f>
        <v/>
      </c>
      <c r="N40" s="90" t="str">
        <f t="shared" si="43"/>
        <v/>
      </c>
      <c r="P40" s="27"/>
      <c r="Q40" s="14"/>
      <c r="R40" s="146"/>
      <c r="S40" s="14"/>
      <c r="T40" s="28" t="str">
        <f>IF(R40&lt;&gt;"",R40/R$7,"")</f>
        <v/>
      </c>
      <c r="V40" s="90" t="str">
        <f t="shared" si="29"/>
        <v/>
      </c>
      <c r="X40" s="27"/>
      <c r="Y40" s="14"/>
      <c r="Z40" s="146"/>
      <c r="AA40" s="14"/>
      <c r="AB40" s="28" t="str">
        <f>IF(Z40&lt;&gt;"",Z40/Z$7,"")</f>
        <v/>
      </c>
      <c r="AC40" s="14"/>
      <c r="AD40" s="90" t="str">
        <f t="shared" si="30"/>
        <v/>
      </c>
      <c r="AF40" s="27"/>
      <c r="AG40" s="14"/>
      <c r="AH40" s="146"/>
      <c r="AI40" s="14"/>
      <c r="AJ40" s="28" t="str">
        <f>IF(AH40&lt;&gt;"",AH40/AH$7,"")</f>
        <v/>
      </c>
      <c r="AL40" s="90" t="str">
        <f t="shared" si="31"/>
        <v/>
      </c>
      <c r="AN40" s="27"/>
      <c r="AO40" s="14"/>
      <c r="AP40" s="146"/>
      <c r="AQ40" s="14"/>
      <c r="AR40" s="28" t="str">
        <f>IF(AP40&lt;&gt;"",AP40/AP$7,"")</f>
        <v/>
      </c>
      <c r="AT40" s="90" t="str">
        <f t="shared" si="32"/>
        <v/>
      </c>
      <c r="AV40" s="27"/>
      <c r="AW40" s="14"/>
      <c r="AX40" s="146"/>
      <c r="AY40" s="14"/>
      <c r="AZ40" s="28" t="str">
        <f>IF(AX40&lt;&gt;"",AX40/AX$7,"")</f>
        <v/>
      </c>
      <c r="BB40" s="90" t="str">
        <f t="shared" si="33"/>
        <v/>
      </c>
      <c r="BD40" s="27"/>
      <c r="BE40" s="14"/>
      <c r="BF40" s="146"/>
      <c r="BG40" s="14"/>
      <c r="BH40" s="28" t="str">
        <f>IF(BF40&lt;&gt;"",BF40/BF$7,"")</f>
        <v/>
      </c>
      <c r="BJ40" s="90" t="str">
        <f t="shared" si="34"/>
        <v/>
      </c>
      <c r="BL40" s="27"/>
      <c r="BM40" s="14"/>
      <c r="BN40" s="146"/>
      <c r="BO40" s="14"/>
      <c r="BP40" s="28" t="str">
        <f>IF(BN40&lt;&gt;"",BN40/BN$7,"")</f>
        <v/>
      </c>
      <c r="BR40" s="90" t="str">
        <f t="shared" si="35"/>
        <v/>
      </c>
      <c r="BT40" s="27"/>
      <c r="BU40" s="14"/>
      <c r="BV40" s="146"/>
      <c r="BW40" s="14"/>
      <c r="BX40" s="28" t="str">
        <f>IF(BV40&lt;&gt;"",BV40/BV$7,"")</f>
        <v/>
      </c>
      <c r="BZ40" s="90" t="str">
        <f t="shared" si="36"/>
        <v/>
      </c>
      <c r="CB40" s="27"/>
      <c r="CC40" s="14"/>
      <c r="CD40" s="146"/>
      <c r="CE40" s="14"/>
      <c r="CF40" s="28" t="str">
        <f>IF(CD40&lt;&gt;"",CD40/CD$7,"")</f>
        <v/>
      </c>
      <c r="CH40" s="90" t="str">
        <f t="shared" si="37"/>
        <v/>
      </c>
      <c r="CJ40" s="27"/>
      <c r="CK40" s="14"/>
      <c r="CL40" s="146"/>
      <c r="CM40" s="14"/>
      <c r="CN40" s="28" t="str">
        <f>IF(CL40&lt;&gt;"",CL40/CL$7,"")</f>
        <v/>
      </c>
      <c r="CP40" s="90" t="str">
        <f t="shared" si="38"/>
        <v/>
      </c>
      <c r="CR40" s="27"/>
      <c r="CS40" s="14"/>
      <c r="CT40" s="146"/>
      <c r="CU40" s="14"/>
      <c r="CV40" s="28" t="str">
        <f>IF(CT40&lt;&gt;"",CT40/CT$7,"")</f>
        <v/>
      </c>
      <c r="CX40" s="90" t="str">
        <f t="shared" si="39"/>
        <v/>
      </c>
    </row>
    <row r="41" spans="1:102" ht="16.2" thickBot="1" x14ac:dyDescent="0.35">
      <c r="B41" s="48"/>
      <c r="C41" s="62" t="s">
        <v>129</v>
      </c>
      <c r="D41" s="71" t="e">
        <f t="shared" si="40"/>
        <v>#DIV/0!</v>
      </c>
      <c r="E41" s="133">
        <f t="shared" si="41"/>
        <v>0</v>
      </c>
      <c r="F41" s="74" t="str">
        <f t="shared" si="42"/>
        <v/>
      </c>
      <c r="H41" s="69"/>
      <c r="J41" s="143"/>
      <c r="L41" s="65" t="str">
        <f t="shared" si="44"/>
        <v/>
      </c>
      <c r="N41" s="90" t="str">
        <f t="shared" si="43"/>
        <v/>
      </c>
      <c r="P41" s="69"/>
      <c r="Q41" s="14"/>
      <c r="R41" s="143"/>
      <c r="S41" s="14"/>
      <c r="T41" s="65" t="str">
        <f t="shared" si="45"/>
        <v/>
      </c>
      <c r="V41" s="90" t="str">
        <f t="shared" si="29"/>
        <v/>
      </c>
      <c r="X41" s="69"/>
      <c r="Y41" s="14"/>
      <c r="Z41" s="143"/>
      <c r="AA41" s="14"/>
      <c r="AB41" s="65" t="str">
        <f t="shared" si="46"/>
        <v/>
      </c>
      <c r="AC41" s="14"/>
      <c r="AD41" s="90" t="str">
        <f t="shared" si="30"/>
        <v/>
      </c>
      <c r="AF41" s="69"/>
      <c r="AG41" s="14"/>
      <c r="AH41" s="143"/>
      <c r="AI41" s="14"/>
      <c r="AJ41" s="65" t="str">
        <f t="shared" si="47"/>
        <v/>
      </c>
      <c r="AL41" s="90" t="str">
        <f t="shared" si="31"/>
        <v/>
      </c>
      <c r="AN41" s="69"/>
      <c r="AO41" s="14"/>
      <c r="AP41" s="143"/>
      <c r="AQ41" s="14"/>
      <c r="AR41" s="65" t="str">
        <f t="shared" si="48"/>
        <v/>
      </c>
      <c r="AT41" s="90" t="str">
        <f t="shared" si="32"/>
        <v/>
      </c>
      <c r="AV41" s="69"/>
      <c r="AW41" s="14"/>
      <c r="AX41" s="143"/>
      <c r="AY41" s="14"/>
      <c r="AZ41" s="65" t="str">
        <f t="shared" si="49"/>
        <v/>
      </c>
      <c r="BB41" s="90" t="str">
        <f t="shared" si="33"/>
        <v/>
      </c>
      <c r="BD41" s="69"/>
      <c r="BE41" s="14"/>
      <c r="BF41" s="143"/>
      <c r="BG41" s="14"/>
      <c r="BH41" s="65" t="str">
        <f t="shared" si="50"/>
        <v/>
      </c>
      <c r="BJ41" s="90" t="str">
        <f t="shared" si="34"/>
        <v/>
      </c>
      <c r="BL41" s="69"/>
      <c r="BM41" s="14"/>
      <c r="BN41" s="143"/>
      <c r="BO41" s="14"/>
      <c r="BP41" s="65" t="str">
        <f t="shared" si="51"/>
        <v/>
      </c>
      <c r="BR41" s="90" t="str">
        <f t="shared" si="35"/>
        <v/>
      </c>
      <c r="BT41" s="69"/>
      <c r="BU41" s="14"/>
      <c r="BV41" s="143"/>
      <c r="BW41" s="14"/>
      <c r="BX41" s="65" t="str">
        <f t="shared" si="52"/>
        <v/>
      </c>
      <c r="BZ41" s="90" t="str">
        <f t="shared" si="36"/>
        <v/>
      </c>
      <c r="CB41" s="69"/>
      <c r="CC41" s="14"/>
      <c r="CD41" s="143"/>
      <c r="CE41" s="14"/>
      <c r="CF41" s="65" t="str">
        <f t="shared" si="53"/>
        <v/>
      </c>
      <c r="CH41" s="90" t="str">
        <f t="shared" si="37"/>
        <v/>
      </c>
      <c r="CJ41" s="69"/>
      <c r="CK41" s="14"/>
      <c r="CL41" s="143"/>
      <c r="CM41" s="14"/>
      <c r="CN41" s="65" t="str">
        <f t="shared" si="54"/>
        <v/>
      </c>
      <c r="CP41" s="90" t="str">
        <f t="shared" si="38"/>
        <v/>
      </c>
      <c r="CR41" s="69"/>
      <c r="CS41" s="14"/>
      <c r="CT41" s="143"/>
      <c r="CU41" s="14"/>
      <c r="CV41" s="65" t="str">
        <f t="shared" si="55"/>
        <v/>
      </c>
      <c r="CX41" s="90" t="str">
        <f t="shared" si="39"/>
        <v/>
      </c>
    </row>
    <row r="42" spans="1:102" ht="10.5" customHeight="1" thickBot="1" x14ac:dyDescent="0.35">
      <c r="A42" s="34"/>
      <c r="J42" s="41"/>
      <c r="P42" s="41"/>
      <c r="Q42" s="14"/>
      <c r="R42" s="41"/>
      <c r="S42" s="14"/>
      <c r="T42" s="14"/>
      <c r="X42" s="41"/>
      <c r="Y42" s="14"/>
      <c r="Z42" s="41"/>
      <c r="AA42" s="14"/>
      <c r="AB42" s="14"/>
      <c r="AC42" s="14"/>
      <c r="AF42" s="41"/>
      <c r="AG42" s="14"/>
      <c r="AH42" s="41"/>
      <c r="AI42" s="14"/>
      <c r="AJ42" s="14"/>
      <c r="AO42" s="14"/>
      <c r="AQ42" s="14"/>
      <c r="AR42" s="14"/>
      <c r="AV42" s="41"/>
      <c r="AW42" s="14"/>
      <c r="AX42" s="41"/>
      <c r="AY42" s="14"/>
      <c r="AZ42" s="14"/>
      <c r="BD42" s="41"/>
      <c r="BE42" s="14"/>
      <c r="BF42" s="41"/>
      <c r="BG42" s="14"/>
      <c r="BH42" s="14"/>
      <c r="BM42" s="14"/>
      <c r="BO42" s="14"/>
      <c r="BP42" s="14"/>
      <c r="BU42" s="14"/>
      <c r="BW42" s="14"/>
      <c r="BX42" s="14"/>
      <c r="CB42" s="41"/>
      <c r="CC42" s="14"/>
      <c r="CD42" s="41"/>
      <c r="CE42" s="14"/>
      <c r="CF42" s="14"/>
      <c r="CK42" s="14"/>
      <c r="CM42" s="14"/>
      <c r="CN42" s="14"/>
      <c r="CR42" s="41"/>
      <c r="CS42" s="14"/>
      <c r="CT42" s="41"/>
      <c r="CU42" s="14"/>
      <c r="CV42" s="14"/>
    </row>
    <row r="43" spans="1:102" ht="16.2" thickBot="1" x14ac:dyDescent="0.35">
      <c r="B43" s="208" t="s">
        <v>96</v>
      </c>
      <c r="C43" s="209"/>
      <c r="D43" s="29" t="e">
        <f t="shared" ref="D43:F43" si="56">IF(SUM(D44:D48)&lt;&gt;"",SUM(D44:D48),"")</f>
        <v>#DIV/0!</v>
      </c>
      <c r="E43" s="127">
        <f t="shared" si="56"/>
        <v>0</v>
      </c>
      <c r="F43" s="76">
        <f t="shared" si="56"/>
        <v>0</v>
      </c>
      <c r="H43" s="29">
        <f>IF(SUM(H44:H48)&lt;&gt;"",SUM(H44:H48),"")</f>
        <v>0</v>
      </c>
      <c r="J43" s="29">
        <f>IF(SUM(J44:J48)&lt;&gt;"",SUM(J44:J48),"")</f>
        <v>0</v>
      </c>
      <c r="L43" s="94" t="str">
        <f>IF(SUM(L44:L47)&lt;&gt;0,SUM(L44:L47),"")</f>
        <v/>
      </c>
      <c r="N43" s="30" t="e">
        <f>IF(J43&lt;&gt;"",(J43/$D43)-1,"")</f>
        <v>#DIV/0!</v>
      </c>
      <c r="P43" s="29">
        <f>IF(SUM(P44:P48)&lt;&gt;"",SUM(P44:P48),"")</f>
        <v>0</v>
      </c>
      <c r="Q43" s="14"/>
      <c r="R43" s="29">
        <f>IF(SUM(R44:R48)&lt;&gt;"",SUM(R44:R48),"")</f>
        <v>0</v>
      </c>
      <c r="S43" s="14"/>
      <c r="T43" s="94" t="str">
        <f>IF(SUM(T44:T47)&lt;&gt;0,SUM(T44:T47),"")</f>
        <v/>
      </c>
      <c r="V43" s="94" t="str">
        <f t="shared" ref="V43:V45" si="57">IF(R43&lt;&gt;0,(R43/P43)-1,"")</f>
        <v/>
      </c>
      <c r="X43" s="29">
        <f>IF(SUM(X44:X48)&lt;&gt;"",SUM(X44:X48),"")</f>
        <v>0</v>
      </c>
      <c r="Y43" s="14"/>
      <c r="Z43" s="29">
        <f>IF(SUM(Z44:Z48)&lt;&gt;"",SUM(Z44:Z48),"")</f>
        <v>0</v>
      </c>
      <c r="AA43" s="14"/>
      <c r="AB43" s="94" t="str">
        <f>IF(SUM(AB44:AB47)&lt;&gt;0,SUM(AB44:AB47),"")</f>
        <v/>
      </c>
      <c r="AC43" s="14"/>
      <c r="AD43" s="94" t="str">
        <f t="shared" ref="AD43:AD45" si="58">IF(Z43&lt;&gt;0,(Z43/X43)-1,"")</f>
        <v/>
      </c>
      <c r="AF43" s="29">
        <f>IF(SUM(AF44:AF48)&lt;&gt;"",SUM(AF44:AF48),"")</f>
        <v>0</v>
      </c>
      <c r="AG43" s="14"/>
      <c r="AH43" s="29">
        <f>IF(SUM(AH44:AH48)&lt;&gt;"",SUM(AH44:AH48),"")</f>
        <v>0</v>
      </c>
      <c r="AI43" s="14"/>
      <c r="AJ43" s="94" t="str">
        <f>IF(SUM(AJ44:AJ47)&lt;&gt;0,SUM(AJ44:AJ47),"")</f>
        <v/>
      </c>
      <c r="AL43" s="94" t="str">
        <f t="shared" ref="AL43:AL45" si="59">IF(AH43&lt;&gt;0,(AH43/AF43)-1,"")</f>
        <v/>
      </c>
      <c r="AN43" s="29">
        <f>IF(SUM(AN44:AN48)&lt;&gt;"",SUM(AN44:AN48),"")</f>
        <v>0</v>
      </c>
      <c r="AO43" s="14"/>
      <c r="AP43" s="29">
        <f>IF(SUM(AP44:AP48)&lt;&gt;"",SUM(AP44:AP48),"")</f>
        <v>0</v>
      </c>
      <c r="AQ43" s="14"/>
      <c r="AR43" s="94" t="str">
        <f>IF(SUM(AR44:AR47)&lt;&gt;0,SUM(AR44:AR47),"")</f>
        <v/>
      </c>
      <c r="AT43" s="94" t="str">
        <f t="shared" ref="AT43:AT45" si="60">IF(AP43&lt;&gt;0,(AP43/AN43)-1,"")</f>
        <v/>
      </c>
      <c r="AV43" s="29">
        <f>IF(SUM(AV44:AV48)&lt;&gt;"",SUM(AV44:AV48),"")</f>
        <v>0</v>
      </c>
      <c r="AW43" s="14"/>
      <c r="AX43" s="29">
        <f>IF(SUM(AX44:AX48)&lt;&gt;"",SUM(AX44:AX48),"")</f>
        <v>0</v>
      </c>
      <c r="AY43" s="14"/>
      <c r="AZ43" s="94" t="str">
        <f>IF(SUM(AZ44:AZ47)&lt;&gt;0,SUM(AZ44:AZ47),"")</f>
        <v/>
      </c>
      <c r="BB43" s="94" t="str">
        <f t="shared" ref="BB43:BB45" si="61">IF(AX43&lt;&gt;0,(AX43/AV43)-1,"")</f>
        <v/>
      </c>
      <c r="BD43" s="29">
        <f>IF(SUM(BD44:BD48)&lt;&gt;"",SUM(BD44:BD48),"")</f>
        <v>0</v>
      </c>
      <c r="BE43" s="14"/>
      <c r="BF43" s="29">
        <f>IF(SUM(BF44:BF48)&lt;&gt;"",SUM(BF44:BF48),"")</f>
        <v>0</v>
      </c>
      <c r="BG43" s="14"/>
      <c r="BH43" s="94" t="str">
        <f>IF(SUM(BH44:BH47)&lt;&gt;0,SUM(BH44:BH47),"")</f>
        <v/>
      </c>
      <c r="BJ43" s="94" t="str">
        <f t="shared" ref="BJ43:BJ45" si="62">IF(BF43&lt;&gt;0,(BF43/BD43)-1,"")</f>
        <v/>
      </c>
      <c r="BL43" s="29">
        <f>IF(SUM(BL44:BL48)&lt;&gt;"",SUM(BL44:BL48),"")</f>
        <v>0</v>
      </c>
      <c r="BM43" s="14"/>
      <c r="BN43" s="29">
        <f>IF(SUM(BN44:BN48)&lt;&gt;"",SUM(BN44:BN48),"")</f>
        <v>0</v>
      </c>
      <c r="BO43" s="14"/>
      <c r="BP43" s="94" t="str">
        <f>IF(SUM(BP44:BP47)&lt;&gt;0,SUM(BP44:BP47),"")</f>
        <v/>
      </c>
      <c r="BR43" s="94" t="str">
        <f t="shared" ref="BR43:BR45" si="63">IF(BN43&lt;&gt;0,(BN43/BL43)-1,"")</f>
        <v/>
      </c>
      <c r="BT43" s="29">
        <f>IF(SUM(BT44:BT48)&lt;&gt;"",SUM(BT44:BT48),"")</f>
        <v>0</v>
      </c>
      <c r="BU43" s="14"/>
      <c r="BV43" s="29">
        <f>IF(SUM(BV44:BV48)&lt;&gt;"",SUM(BV44:BV48),"")</f>
        <v>0</v>
      </c>
      <c r="BW43" s="14"/>
      <c r="BX43" s="94" t="str">
        <f>IF(SUM(BX44:BX47)&lt;&gt;0,SUM(BX44:BX47),"")</f>
        <v/>
      </c>
      <c r="BZ43" s="94" t="str">
        <f t="shared" ref="BZ43:BZ45" si="64">IF(BV43&lt;&gt;0,(BV43/BT43)-1,"")</f>
        <v/>
      </c>
      <c r="CB43" s="29">
        <f>IF(SUM(CB44:CB48)&lt;&gt;"",SUM(CB44:CB48),"")</f>
        <v>0</v>
      </c>
      <c r="CC43" s="14"/>
      <c r="CD43" s="29">
        <f>IF(SUM(CD44:CD48)&lt;&gt;"",SUM(CD44:CD48),"")</f>
        <v>0</v>
      </c>
      <c r="CE43" s="14"/>
      <c r="CF43" s="94" t="str">
        <f>IF(SUM(CF44:CF47)&lt;&gt;0,SUM(CF44:CF47),"")</f>
        <v/>
      </c>
      <c r="CH43" s="94" t="str">
        <f t="shared" ref="CH43:CH45" si="65">IF(CD43&lt;&gt;0,(CD43/CB43)-1,"")</f>
        <v/>
      </c>
      <c r="CJ43" s="29">
        <f>IF(SUM(CJ44:CJ48)&lt;&gt;"",SUM(CJ44:CJ48),"")</f>
        <v>0</v>
      </c>
      <c r="CK43" s="14"/>
      <c r="CL43" s="29">
        <f>IF(SUM(CL44:CL48)&lt;&gt;"",SUM(CL44:CL48),"")</f>
        <v>0</v>
      </c>
      <c r="CM43" s="14"/>
      <c r="CN43" s="94" t="str">
        <f>IF(SUM(CN44:CN47)&lt;&gt;0,SUM(CN44:CN47),"")</f>
        <v/>
      </c>
      <c r="CP43" s="94" t="str">
        <f t="shared" ref="CP43:CP45" si="66">IF(CL43&lt;&gt;0,(CL43/CJ43)-1,"")</f>
        <v/>
      </c>
      <c r="CR43" s="29">
        <f>IF(SUM(CR44:CR48)&lt;&gt;"",SUM(CR44:CR48),"")</f>
        <v>0</v>
      </c>
      <c r="CS43" s="14"/>
      <c r="CT43" s="29">
        <f>IF(SUM(CT44:CT48)&lt;&gt;"",SUM(CT44:CT48),"")</f>
        <v>0</v>
      </c>
      <c r="CU43" s="14"/>
      <c r="CV43" s="94" t="str">
        <f>IF(SUM(CV44:CV47)&lt;&gt;0,SUM(CV44:CV47),"")</f>
        <v/>
      </c>
      <c r="CX43" s="94" t="str">
        <f t="shared" ref="CX43:CX45" si="67">IF(CT43&lt;&gt;0,(CT43/CR43)-1,"")</f>
        <v/>
      </c>
    </row>
    <row r="44" spans="1:102" ht="15.6" x14ac:dyDescent="0.3">
      <c r="B44" s="98"/>
      <c r="C44" s="21" t="s">
        <v>106</v>
      </c>
      <c r="D44" s="78" t="e">
        <f t="shared" ref="D44:D47" si="68">IF(AVERAGE(J44,R44,Z44,AH44,AP44,AX44,BF44,BN44,BV44,CD44,CL44,CT44)&lt;&gt;"",AVERAGE(J44,R44,Z44,AH44,AP44,AX44,BF44,BN44,BV44,CD44,CL44,CT44),"")</f>
        <v>#DIV/0!</v>
      </c>
      <c r="E44" s="130">
        <f t="shared" ref="E44:E47" si="69">IF(SUM(J44,R44,Z44,AH44,AP44,AX44,BF44,BN44,BV44,CD44,CL44,CT44)&lt;&gt;"",SUM(J44,R44,Z44,AH44,AP44,AX44,BF44,BN44,BV44,CD44,CL44,CT44),"")</f>
        <v>0</v>
      </c>
      <c r="F44" s="73" t="str">
        <f t="shared" ref="F44:F47" si="70">IF(E44&lt;&gt;0,E44/E$7,"")</f>
        <v/>
      </c>
      <c r="H44" s="35"/>
      <c r="J44" s="147"/>
      <c r="L44" s="28" t="str">
        <f>IF(J44&lt;&gt;"",J44/J$7,"")</f>
        <v/>
      </c>
      <c r="N44" s="90" t="str">
        <f t="shared" ref="N44:N48" si="71">IF(J44&lt;&gt;0,(J44/D44)-1,"")</f>
        <v/>
      </c>
      <c r="P44" s="35"/>
      <c r="Q44" s="14"/>
      <c r="R44" s="147"/>
      <c r="S44" s="14"/>
      <c r="T44" s="28" t="str">
        <f>IF(R44&lt;&gt;"",R44/R$7,"")</f>
        <v/>
      </c>
      <c r="V44" s="90" t="str">
        <f t="shared" si="57"/>
        <v/>
      </c>
      <c r="X44" s="35"/>
      <c r="Y44" s="14"/>
      <c r="Z44" s="147"/>
      <c r="AA44" s="14"/>
      <c r="AB44" s="28" t="str">
        <f>IF(Z44&lt;&gt;"",Z44/Z$7,"")</f>
        <v/>
      </c>
      <c r="AC44" s="14"/>
      <c r="AD44" s="90" t="str">
        <f t="shared" si="58"/>
        <v/>
      </c>
      <c r="AF44" s="35"/>
      <c r="AG44" s="14"/>
      <c r="AH44" s="147"/>
      <c r="AI44" s="14"/>
      <c r="AJ44" s="28" t="str">
        <f>IF(AH44&lt;&gt;"",AH44/AH$7,"")</f>
        <v/>
      </c>
      <c r="AL44" s="90" t="str">
        <f t="shared" si="59"/>
        <v/>
      </c>
      <c r="AN44" s="35"/>
      <c r="AO44" s="14"/>
      <c r="AP44" s="147"/>
      <c r="AQ44" s="14"/>
      <c r="AR44" s="28" t="str">
        <f>IF(AP44&lt;&gt;"",AP44/AP$7,"")</f>
        <v/>
      </c>
      <c r="AT44" s="90" t="str">
        <f t="shared" si="60"/>
        <v/>
      </c>
      <c r="AV44" s="35"/>
      <c r="AW44" s="14"/>
      <c r="AX44" s="147"/>
      <c r="AY44" s="14"/>
      <c r="AZ44" s="28" t="str">
        <f>IF(AX44&lt;&gt;"",AX44/AX$7,"")</f>
        <v/>
      </c>
      <c r="BB44" s="90" t="str">
        <f t="shared" si="61"/>
        <v/>
      </c>
      <c r="BD44" s="35"/>
      <c r="BE44" s="14"/>
      <c r="BF44" s="147"/>
      <c r="BG44" s="14"/>
      <c r="BH44" s="28" t="str">
        <f>IF(BF44&lt;&gt;"",BF44/BF$7,"")</f>
        <v/>
      </c>
      <c r="BJ44" s="90" t="str">
        <f t="shared" si="62"/>
        <v/>
      </c>
      <c r="BL44" s="35"/>
      <c r="BM44" s="14"/>
      <c r="BN44" s="147"/>
      <c r="BO44" s="14"/>
      <c r="BP44" s="28" t="str">
        <f>IF(BN44&lt;&gt;"",BN44/BN$7,"")</f>
        <v/>
      </c>
      <c r="BR44" s="90" t="str">
        <f t="shared" si="63"/>
        <v/>
      </c>
      <c r="BT44" s="35"/>
      <c r="BU44" s="14"/>
      <c r="BV44" s="147"/>
      <c r="BW44" s="14"/>
      <c r="BX44" s="28" t="str">
        <f>IF(BV44&lt;&gt;"",BV44/BV$7,"")</f>
        <v/>
      </c>
      <c r="BZ44" s="90" t="str">
        <f t="shared" si="64"/>
        <v/>
      </c>
      <c r="CB44" s="35"/>
      <c r="CC44" s="14"/>
      <c r="CD44" s="147"/>
      <c r="CE44" s="14"/>
      <c r="CF44" s="28" t="str">
        <f>IF(CD44&lt;&gt;"",CD44/CD$7,"")</f>
        <v/>
      </c>
      <c r="CH44" s="90" t="str">
        <f t="shared" si="65"/>
        <v/>
      </c>
      <c r="CJ44" s="35"/>
      <c r="CK44" s="14"/>
      <c r="CL44" s="147"/>
      <c r="CM44" s="14"/>
      <c r="CN44" s="28" t="str">
        <f>IF(CL44&lt;&gt;"",CL44/CL$7,"")</f>
        <v/>
      </c>
      <c r="CP44" s="90" t="str">
        <f t="shared" si="66"/>
        <v/>
      </c>
      <c r="CR44" s="35"/>
      <c r="CS44" s="14"/>
      <c r="CT44" s="147"/>
      <c r="CU44" s="14"/>
      <c r="CV44" s="28" t="str">
        <f>IF(CT44&lt;&gt;"",CT44/CT$7,"")</f>
        <v/>
      </c>
      <c r="CX44" s="90" t="str">
        <f t="shared" si="67"/>
        <v/>
      </c>
    </row>
    <row r="45" spans="1:102" ht="15.6" x14ac:dyDescent="0.3">
      <c r="B45" s="51"/>
      <c r="C45" s="21" t="s">
        <v>48</v>
      </c>
      <c r="D45" s="70" t="e">
        <f t="shared" si="68"/>
        <v>#DIV/0!</v>
      </c>
      <c r="E45" s="130">
        <f t="shared" si="69"/>
        <v>0</v>
      </c>
      <c r="F45" s="73" t="str">
        <f t="shared" si="70"/>
        <v/>
      </c>
      <c r="H45" s="99"/>
      <c r="J45" s="148"/>
      <c r="L45" s="28" t="str">
        <f>IF(J45&lt;&gt;"",J45/J$7,"")</f>
        <v/>
      </c>
      <c r="N45" s="90" t="str">
        <f t="shared" si="71"/>
        <v/>
      </c>
      <c r="P45" s="99"/>
      <c r="Q45" s="14"/>
      <c r="R45" s="148"/>
      <c r="S45" s="14"/>
      <c r="T45" s="28" t="str">
        <f>IF(R45&lt;&gt;"",R45/R$7,"")</f>
        <v/>
      </c>
      <c r="V45" s="90" t="str">
        <f t="shared" si="57"/>
        <v/>
      </c>
      <c r="X45" s="99"/>
      <c r="Y45" s="14"/>
      <c r="Z45" s="148"/>
      <c r="AA45" s="14"/>
      <c r="AB45" s="28" t="str">
        <f>IF(Z45&lt;&gt;"",Z45/Z$7,"")</f>
        <v/>
      </c>
      <c r="AC45" s="14"/>
      <c r="AD45" s="90" t="str">
        <f t="shared" si="58"/>
        <v/>
      </c>
      <c r="AF45" s="99"/>
      <c r="AG45" s="14"/>
      <c r="AH45" s="148"/>
      <c r="AI45" s="14"/>
      <c r="AJ45" s="28" t="str">
        <f>IF(AH45&lt;&gt;"",AH45/AH$7,"")</f>
        <v/>
      </c>
      <c r="AL45" s="90" t="str">
        <f t="shared" si="59"/>
        <v/>
      </c>
      <c r="AN45" s="99"/>
      <c r="AO45" s="14"/>
      <c r="AP45" s="148"/>
      <c r="AQ45" s="14"/>
      <c r="AR45" s="28" t="str">
        <f>IF(AP45&lt;&gt;"",AP45/AP$7,"")</f>
        <v/>
      </c>
      <c r="AT45" s="90" t="str">
        <f t="shared" si="60"/>
        <v/>
      </c>
      <c r="AV45" s="99"/>
      <c r="AW45" s="14"/>
      <c r="AX45" s="148"/>
      <c r="AY45" s="14"/>
      <c r="AZ45" s="28" t="str">
        <f>IF(AX45&lt;&gt;"",AX45/AX$7,"")</f>
        <v/>
      </c>
      <c r="BB45" s="90" t="str">
        <f t="shared" si="61"/>
        <v/>
      </c>
      <c r="BD45" s="99"/>
      <c r="BE45" s="14"/>
      <c r="BF45" s="148"/>
      <c r="BG45" s="14"/>
      <c r="BH45" s="28" t="str">
        <f>IF(BF45&lt;&gt;"",BF45/BF$7,"")</f>
        <v/>
      </c>
      <c r="BJ45" s="90" t="str">
        <f t="shared" si="62"/>
        <v/>
      </c>
      <c r="BL45" s="99"/>
      <c r="BM45" s="14"/>
      <c r="BN45" s="148"/>
      <c r="BO45" s="14"/>
      <c r="BP45" s="28" t="str">
        <f>IF(BN45&lt;&gt;"",BN45/BN$7,"")</f>
        <v/>
      </c>
      <c r="BR45" s="90" t="str">
        <f t="shared" si="63"/>
        <v/>
      </c>
      <c r="BT45" s="99"/>
      <c r="BU45" s="14"/>
      <c r="BV45" s="148"/>
      <c r="BW45" s="14"/>
      <c r="BX45" s="28" t="str">
        <f>IF(BV45&lt;&gt;"",BV45/BV$7,"")</f>
        <v/>
      </c>
      <c r="BZ45" s="90" t="str">
        <f t="shared" si="64"/>
        <v/>
      </c>
      <c r="CB45" s="99"/>
      <c r="CC45" s="14"/>
      <c r="CD45" s="148"/>
      <c r="CE45" s="14"/>
      <c r="CF45" s="28" t="str">
        <f>IF(CD45&lt;&gt;"",CD45/CD$7,"")</f>
        <v/>
      </c>
      <c r="CH45" s="90" t="str">
        <f t="shared" si="65"/>
        <v/>
      </c>
      <c r="CJ45" s="99"/>
      <c r="CK45" s="14"/>
      <c r="CL45" s="148"/>
      <c r="CM45" s="14"/>
      <c r="CN45" s="28" t="str">
        <f>IF(CL45&lt;&gt;"",CL45/CL$7,"")</f>
        <v/>
      </c>
      <c r="CP45" s="90" t="str">
        <f t="shared" si="66"/>
        <v/>
      </c>
      <c r="CR45" s="99"/>
      <c r="CS45" s="14"/>
      <c r="CT45" s="148"/>
      <c r="CU45" s="14"/>
      <c r="CV45" s="28" t="str">
        <f>IF(CT45&lt;&gt;"",CT45/CT$7,"")</f>
        <v/>
      </c>
      <c r="CX45" s="90" t="str">
        <f t="shared" si="67"/>
        <v/>
      </c>
    </row>
    <row r="46" spans="1:102" ht="15.6" x14ac:dyDescent="0.3">
      <c r="B46" s="51"/>
      <c r="C46" s="21" t="s">
        <v>139</v>
      </c>
      <c r="D46" s="70"/>
      <c r="E46" s="130"/>
      <c r="F46" s="73"/>
      <c r="H46" s="99"/>
      <c r="J46" s="148"/>
      <c r="L46" s="28"/>
      <c r="N46" s="90"/>
      <c r="P46" s="99"/>
      <c r="Q46" s="14"/>
      <c r="R46" s="148"/>
      <c r="S46" s="14"/>
      <c r="T46" s="28"/>
      <c r="V46" s="90"/>
      <c r="X46" s="99"/>
      <c r="Y46" s="14"/>
      <c r="Z46" s="148"/>
      <c r="AA46" s="14"/>
      <c r="AB46" s="28"/>
      <c r="AC46" s="14"/>
      <c r="AD46" s="90"/>
      <c r="AF46" s="99"/>
      <c r="AG46" s="14"/>
      <c r="AH46" s="148"/>
      <c r="AI46" s="14"/>
      <c r="AJ46" s="28"/>
      <c r="AL46" s="90"/>
      <c r="AN46" s="99"/>
      <c r="AO46" s="14"/>
      <c r="AP46" s="148"/>
      <c r="AQ46" s="14"/>
      <c r="AR46" s="28"/>
      <c r="AT46" s="90"/>
      <c r="AV46" s="99"/>
      <c r="AW46" s="14"/>
      <c r="AX46" s="148"/>
      <c r="AY46" s="14"/>
      <c r="AZ46" s="28"/>
      <c r="BB46" s="90"/>
      <c r="BD46" s="99"/>
      <c r="BE46" s="14"/>
      <c r="BF46" s="148"/>
      <c r="BG46" s="14"/>
      <c r="BH46" s="28"/>
      <c r="BJ46" s="90"/>
      <c r="BL46" s="99"/>
      <c r="BM46" s="14"/>
      <c r="BN46" s="148"/>
      <c r="BO46" s="14"/>
      <c r="BP46" s="28"/>
      <c r="BR46" s="90"/>
      <c r="BT46" s="99"/>
      <c r="BU46" s="14"/>
      <c r="BV46" s="148"/>
      <c r="BW46" s="14"/>
      <c r="BX46" s="28"/>
      <c r="BZ46" s="90"/>
      <c r="CB46" s="203" t="s">
        <v>152</v>
      </c>
      <c r="CC46" s="14"/>
      <c r="CD46" s="148"/>
      <c r="CE46" s="14"/>
      <c r="CF46" s="28"/>
      <c r="CH46" s="90"/>
      <c r="CJ46" s="99"/>
      <c r="CK46" s="14"/>
      <c r="CL46" s="148"/>
      <c r="CM46" s="14"/>
      <c r="CN46" s="28"/>
      <c r="CP46" s="90"/>
      <c r="CR46" s="99"/>
      <c r="CS46" s="14"/>
      <c r="CT46" s="148"/>
      <c r="CU46" s="14"/>
      <c r="CV46" s="28"/>
      <c r="CX46" s="90"/>
    </row>
    <row r="47" spans="1:102" ht="15.6" x14ac:dyDescent="0.3">
      <c r="B47" s="51"/>
      <c r="C47" s="21" t="s">
        <v>52</v>
      </c>
      <c r="D47" s="70" t="e">
        <f t="shared" si="68"/>
        <v>#DIV/0!</v>
      </c>
      <c r="E47" s="130">
        <f t="shared" si="69"/>
        <v>0</v>
      </c>
      <c r="F47" s="73" t="str">
        <f t="shared" si="70"/>
        <v/>
      </c>
      <c r="H47" s="99"/>
      <c r="J47" s="148"/>
      <c r="L47" s="28" t="str">
        <f>IF(J47&lt;&gt;"",J47/J$7,"")</f>
        <v/>
      </c>
      <c r="N47" s="90" t="str">
        <f t="shared" si="71"/>
        <v/>
      </c>
      <c r="P47" s="99"/>
      <c r="Q47" s="14"/>
      <c r="R47" s="148"/>
      <c r="S47" s="14"/>
      <c r="T47" s="28" t="str">
        <f>IF(R47&lt;&gt;"",R47/R$7,"")</f>
        <v/>
      </c>
      <c r="V47" s="90"/>
      <c r="X47" s="99"/>
      <c r="Y47" s="14"/>
      <c r="Z47" s="148"/>
      <c r="AA47" s="14"/>
      <c r="AB47" s="28" t="str">
        <f>IF(Z47&lt;&gt;"",Z47/Z$7,"")</f>
        <v/>
      </c>
      <c r="AC47" s="14"/>
      <c r="AD47" s="90"/>
      <c r="AF47" s="99"/>
      <c r="AG47" s="14"/>
      <c r="AH47" s="148"/>
      <c r="AI47" s="14"/>
      <c r="AJ47" s="28" t="str">
        <f>IF(AH47&lt;&gt;"",AH47/AH$7,"")</f>
        <v/>
      </c>
      <c r="AL47" s="90"/>
      <c r="AN47" s="99"/>
      <c r="AO47" s="14"/>
      <c r="AP47" s="148"/>
      <c r="AQ47" s="14">
        <v>0</v>
      </c>
      <c r="AR47" s="28" t="str">
        <f>IF(AP47&lt;&gt;"",AP47/AP$7,"")</f>
        <v/>
      </c>
      <c r="AT47" s="90"/>
      <c r="AV47" s="99"/>
      <c r="AW47" s="14"/>
      <c r="AX47" s="148"/>
      <c r="AY47" s="14"/>
      <c r="AZ47" s="28" t="str">
        <f>IF(AX47&lt;&gt;"",AX47/AX$7,"")</f>
        <v/>
      </c>
      <c r="BB47" s="90"/>
      <c r="BD47" s="99"/>
      <c r="BE47" s="14"/>
      <c r="BF47" s="148"/>
      <c r="BG47" s="14"/>
      <c r="BH47" s="28" t="str">
        <f>IF(BF47&lt;&gt;"",BF47/BF$7,"")</f>
        <v/>
      </c>
      <c r="BJ47" s="90"/>
      <c r="BL47" s="99"/>
      <c r="BM47" s="14"/>
      <c r="BN47" s="148"/>
      <c r="BO47" s="14"/>
      <c r="BP47" s="28" t="str">
        <f>IF(BN47&lt;&gt;"",BN47/BN$7,"")</f>
        <v/>
      </c>
      <c r="BR47" s="90"/>
      <c r="BT47" s="99"/>
      <c r="BU47" s="14"/>
      <c r="BV47" s="148"/>
      <c r="BW47" s="14"/>
      <c r="BX47" s="28" t="str">
        <f>IF(BV47&lt;&gt;"",BV47/BV$7,"")</f>
        <v/>
      </c>
      <c r="BZ47" s="90"/>
      <c r="CB47" s="99"/>
      <c r="CC47" s="14"/>
      <c r="CD47" s="148"/>
      <c r="CE47" s="14"/>
      <c r="CF47" s="28" t="str">
        <f>IF(CD47&lt;&gt;"",CD47/CD$7,"")</f>
        <v/>
      </c>
      <c r="CH47" s="90"/>
      <c r="CJ47" s="99"/>
      <c r="CK47" s="14"/>
      <c r="CL47" s="148"/>
      <c r="CM47" s="14"/>
      <c r="CN47" s="28" t="str">
        <f>IF(CL47&lt;&gt;"",CL47/CL$7,"")</f>
        <v/>
      </c>
      <c r="CP47" s="90"/>
      <c r="CR47" s="99"/>
      <c r="CS47" s="14"/>
      <c r="CT47" s="148"/>
      <c r="CU47" s="14"/>
      <c r="CV47" s="28" t="str">
        <f>IF(CT47&lt;&gt;"",CT47/CT$7,"")</f>
        <v/>
      </c>
      <c r="CX47" s="90"/>
    </row>
    <row r="48" spans="1:102" ht="16.2" thickBot="1" x14ac:dyDescent="0.35">
      <c r="B48" s="52"/>
      <c r="C48" s="62" t="s">
        <v>130</v>
      </c>
      <c r="D48" s="71"/>
      <c r="E48" s="133"/>
      <c r="F48" s="81"/>
      <c r="H48" s="64"/>
      <c r="J48" s="149"/>
      <c r="L48" s="28" t="str">
        <f t="shared" ref="L48" si="72">IF(J48&lt;&gt;"",J48/$J$7,"")</f>
        <v/>
      </c>
      <c r="N48" s="90" t="str">
        <f t="shared" si="71"/>
        <v/>
      </c>
      <c r="P48" s="64"/>
      <c r="Q48" s="14"/>
      <c r="R48" s="149"/>
      <c r="S48" s="14"/>
      <c r="T48" s="28" t="str">
        <f t="shared" ref="T48" si="73">IF(R48&lt;&gt;"",R48/$J$7,"")</f>
        <v/>
      </c>
      <c r="V48" s="90" t="str">
        <f t="shared" ref="V48" si="74">IF(R48&lt;&gt;0,(R48/P48)-1,"")</f>
        <v/>
      </c>
      <c r="X48" s="64"/>
      <c r="Y48" s="14"/>
      <c r="Z48" s="149"/>
      <c r="AA48" s="14"/>
      <c r="AB48" s="28" t="str">
        <f t="shared" ref="AB48" si="75">IF(Z48&lt;&gt;"",Z48/$J$7,"")</f>
        <v/>
      </c>
      <c r="AC48" s="14"/>
      <c r="AD48" s="90" t="str">
        <f t="shared" ref="AD48" si="76">IF(Z48&lt;&gt;0,(Z48/X48)-1,"")</f>
        <v/>
      </c>
      <c r="AF48" s="64"/>
      <c r="AG48" s="14"/>
      <c r="AH48" s="149"/>
      <c r="AI48" s="14"/>
      <c r="AJ48" s="28" t="str">
        <f t="shared" ref="AJ48" si="77">IF(AH48&lt;&gt;"",AH48/$J$7,"")</f>
        <v/>
      </c>
      <c r="AL48" s="90" t="str">
        <f t="shared" ref="AL48" si="78">IF(AH48&lt;&gt;0,(AH48/AF48)-1,"")</f>
        <v/>
      </c>
      <c r="AN48" s="64"/>
      <c r="AO48" s="14"/>
      <c r="AP48" s="149"/>
      <c r="AQ48" s="14"/>
      <c r="AR48" s="28" t="str">
        <f t="shared" ref="AR48" si="79">IF(AP48&lt;&gt;"",AP48/$J$7,"")</f>
        <v/>
      </c>
      <c r="AT48" s="90" t="str">
        <f t="shared" ref="AT48" si="80">IF(AP48&lt;&gt;0,(AP48/AN48)-1,"")</f>
        <v/>
      </c>
      <c r="AV48" s="64"/>
      <c r="AW48" s="14"/>
      <c r="AX48" s="149"/>
      <c r="AY48" s="14"/>
      <c r="AZ48" s="28" t="str">
        <f t="shared" ref="AZ48" si="81">IF(AX48&lt;&gt;"",AX48/$J$7,"")</f>
        <v/>
      </c>
      <c r="BB48" s="90" t="str">
        <f t="shared" ref="BB48" si="82">IF(AX48&lt;&gt;0,(AX48/AV48)-1,"")</f>
        <v/>
      </c>
      <c r="BD48" s="64"/>
      <c r="BE48" s="14"/>
      <c r="BF48" s="149"/>
      <c r="BG48" s="14"/>
      <c r="BH48" s="28" t="str">
        <f t="shared" ref="BH48" si="83">IF(BF48&lt;&gt;"",BF48/$J$7,"")</f>
        <v/>
      </c>
      <c r="BJ48" s="90" t="str">
        <f t="shared" ref="BJ48" si="84">IF(BF48&lt;&gt;0,(BF48/BD48)-1,"")</f>
        <v/>
      </c>
      <c r="BL48" s="64"/>
      <c r="BM48" s="14"/>
      <c r="BN48" s="149"/>
      <c r="BO48" s="14"/>
      <c r="BP48" s="28" t="str">
        <f t="shared" ref="BP48" si="85">IF(BN48&lt;&gt;"",BN48/$J$7,"")</f>
        <v/>
      </c>
      <c r="BR48" s="90" t="str">
        <f t="shared" ref="BR48" si="86">IF(BN48&lt;&gt;0,(BN48/BL48)-1,"")</f>
        <v/>
      </c>
      <c r="BT48" s="64"/>
      <c r="BU48" s="14"/>
      <c r="BV48" s="149"/>
      <c r="BW48" s="14"/>
      <c r="BX48" s="28" t="str">
        <f t="shared" ref="BX48" si="87">IF(BV48&lt;&gt;"",BV48/$J$7,"")</f>
        <v/>
      </c>
      <c r="BZ48" s="90" t="str">
        <f t="shared" ref="BZ48" si="88">IF(BV48&lt;&gt;0,(BV48/BT48)-1,"")</f>
        <v/>
      </c>
      <c r="CB48" s="64"/>
      <c r="CC48" s="14"/>
      <c r="CD48" s="149"/>
      <c r="CE48" s="14"/>
      <c r="CF48" s="28" t="str">
        <f t="shared" ref="CF48" si="89">IF(CD48&lt;&gt;"",CD48/$J$7,"")</f>
        <v/>
      </c>
      <c r="CH48" s="90" t="str">
        <f t="shared" ref="CH48" si="90">IF(CD48&lt;&gt;0,(CD48/CB48)-1,"")</f>
        <v/>
      </c>
      <c r="CJ48" s="64"/>
      <c r="CK48" s="14"/>
      <c r="CL48" s="149"/>
      <c r="CM48" s="14"/>
      <c r="CN48" s="28" t="str">
        <f t="shared" ref="CN48" si="91">IF(CL48&lt;&gt;"",CL48/$J$7,"")</f>
        <v/>
      </c>
      <c r="CP48" s="90" t="str">
        <f t="shared" ref="CP48" si="92">IF(CL48&lt;&gt;0,(CL48/CJ48)-1,"")</f>
        <v/>
      </c>
      <c r="CR48" s="64"/>
      <c r="CS48" s="14"/>
      <c r="CT48" s="149"/>
      <c r="CU48" s="14"/>
      <c r="CV48" s="28" t="str">
        <f t="shared" ref="CV48" si="93">IF(CT48&lt;&gt;"",CT48/$J$7,"")</f>
        <v/>
      </c>
      <c r="CX48" s="90" t="str">
        <f t="shared" ref="CX48" si="94">IF(CT48&lt;&gt;0,(CT48/CR48)-1,"")</f>
        <v/>
      </c>
    </row>
    <row r="49" spans="2:102" ht="9" customHeight="1" thickBot="1" x14ac:dyDescent="0.35">
      <c r="C49" s="39"/>
      <c r="F49" s="17"/>
      <c r="H49" s="36"/>
      <c r="J49" s="36"/>
      <c r="L49" s="31"/>
      <c r="N49" s="31"/>
      <c r="P49" s="36"/>
      <c r="Q49" s="14"/>
      <c r="R49" s="36"/>
      <c r="S49" s="14"/>
      <c r="T49" s="31"/>
      <c r="V49" s="31"/>
      <c r="X49" s="36"/>
      <c r="Y49" s="14"/>
      <c r="Z49" s="36"/>
      <c r="AA49" s="14"/>
      <c r="AB49" s="31"/>
      <c r="AC49" s="14"/>
      <c r="AD49" s="31"/>
      <c r="AF49" s="36"/>
      <c r="AG49" s="14"/>
      <c r="AH49" s="36"/>
      <c r="AI49" s="14"/>
      <c r="AJ49" s="31"/>
      <c r="AL49" s="31"/>
      <c r="AN49" s="36"/>
      <c r="AO49" s="14"/>
      <c r="AP49" s="36"/>
      <c r="AQ49" s="14"/>
      <c r="AR49" s="31"/>
      <c r="AT49" s="31"/>
      <c r="AV49" s="36"/>
      <c r="AW49" s="14"/>
      <c r="AX49" s="36"/>
      <c r="AY49" s="14"/>
      <c r="AZ49" s="31"/>
      <c r="BB49" s="31"/>
      <c r="BD49" s="36"/>
      <c r="BE49" s="14"/>
      <c r="BF49" s="36"/>
      <c r="BG49" s="14"/>
      <c r="BH49" s="31"/>
      <c r="BJ49" s="31"/>
      <c r="BL49" s="36"/>
      <c r="BM49" s="14"/>
      <c r="BN49" s="36"/>
      <c r="BO49" s="14"/>
      <c r="BP49" s="31"/>
      <c r="BR49" s="31"/>
      <c r="BT49" s="36"/>
      <c r="BU49" s="14"/>
      <c r="BV49" s="36"/>
      <c r="BW49" s="14"/>
      <c r="BX49" s="31"/>
      <c r="BZ49" s="31"/>
      <c r="CB49" s="36"/>
      <c r="CC49" s="14"/>
      <c r="CD49" s="36"/>
      <c r="CE49" s="14"/>
      <c r="CF49" s="31"/>
      <c r="CH49" s="31"/>
      <c r="CJ49" s="36"/>
      <c r="CK49" s="14"/>
      <c r="CL49" s="36"/>
      <c r="CM49" s="14"/>
      <c r="CN49" s="31"/>
      <c r="CP49" s="31"/>
      <c r="CR49" s="36"/>
      <c r="CS49" s="14"/>
      <c r="CT49" s="36"/>
      <c r="CU49" s="14"/>
      <c r="CV49" s="31"/>
      <c r="CX49" s="31"/>
    </row>
    <row r="50" spans="2:102" ht="16.2" thickBot="1" x14ac:dyDescent="0.35">
      <c r="B50" s="208" t="s">
        <v>111</v>
      </c>
      <c r="C50" s="209"/>
      <c r="D50" s="29" t="e">
        <f>IF(SUM(D51:D73)&lt;&gt;"",SUM(D51:D73),"")</f>
        <v>#DIV/0!</v>
      </c>
      <c r="E50" s="127">
        <f t="shared" ref="E50:F50" si="95">IF(SUM(E51:E73)&lt;&gt;"",SUM(E51:E73),"")</f>
        <v>0</v>
      </c>
      <c r="F50" s="54">
        <f t="shared" si="95"/>
        <v>0</v>
      </c>
      <c r="H50" s="38">
        <f>IF(SUM(H51:H73)&lt;&gt;"",SUM(H51:H73),"")</f>
        <v>0</v>
      </c>
      <c r="J50" s="38">
        <f>IF(SUM(J51:J73)&lt;&gt;"",SUM(J51:J73),"")</f>
        <v>0</v>
      </c>
      <c r="L50" s="53" t="str">
        <f>IF(SUM(L51:L73)&lt;&gt;0,SUM(L51:L73),"")</f>
        <v/>
      </c>
      <c r="N50" s="30" t="e">
        <f>IF(J50&lt;&gt;"",(J50/$D50)-1,"")</f>
        <v>#DIV/0!</v>
      </c>
      <c r="P50" s="38">
        <f>IF(SUM(P51:P73)&lt;&gt;"",SUM(P51:P73),"")</f>
        <v>0</v>
      </c>
      <c r="Q50" s="14"/>
      <c r="R50" s="38">
        <f>IF(SUM(R51:R73)&lt;&gt;"",SUM(R51:R73),"")</f>
        <v>0</v>
      </c>
      <c r="S50" s="14"/>
      <c r="T50" s="53" t="str">
        <f>IF(SUM(T51:T73)&lt;&gt;0,SUM(T51:T73),"")</f>
        <v/>
      </c>
      <c r="V50" s="94" t="str">
        <f t="shared" ref="V50:V51" si="96">IF(R50&lt;&gt;0,(R50/P50)-1,"")</f>
        <v/>
      </c>
      <c r="X50" s="38">
        <f>IF(SUM(X51:X73)&lt;&gt;"",SUM(X51:X73),"")</f>
        <v>0</v>
      </c>
      <c r="Y50" s="14"/>
      <c r="Z50" s="38">
        <f>IF(SUM(Z51:Z73)&lt;&gt;"",SUM(Z51:Z73),"")</f>
        <v>0</v>
      </c>
      <c r="AA50" s="14"/>
      <c r="AB50" s="53" t="str">
        <f>IF(SUM(AB51:AB73)&lt;&gt;0,SUM(AB51:AB73),"")</f>
        <v/>
      </c>
      <c r="AC50" s="14"/>
      <c r="AD50" s="94" t="str">
        <f t="shared" ref="AD50:AD51" si="97">IF(Z50&lt;&gt;0,(Z50/X50)-1,"")</f>
        <v/>
      </c>
      <c r="AF50" s="38">
        <f>IF(SUM(AF51:AF73)&lt;&gt;"",SUM(AF51:AF73),"")</f>
        <v>0</v>
      </c>
      <c r="AG50" s="14"/>
      <c r="AH50" s="38">
        <f>IF(SUM(AH51:AH73)&lt;&gt;"",SUM(AH51:AH73),"")</f>
        <v>0</v>
      </c>
      <c r="AI50" s="14"/>
      <c r="AJ50" s="53" t="str">
        <f>IF(SUM(AJ51:AJ73)&lt;&gt;0,SUM(AJ51:AJ73),"")</f>
        <v/>
      </c>
      <c r="AL50" s="94" t="str">
        <f t="shared" ref="AL50:AL51" si="98">IF(AH50&lt;&gt;0,(AH50/AF50)-1,"")</f>
        <v/>
      </c>
      <c r="AN50" s="38">
        <f>IF(SUM(AN51:AN73)&lt;&gt;"",SUM(AN51:AN73),"")</f>
        <v>0</v>
      </c>
      <c r="AO50" s="14"/>
      <c r="AP50" s="38">
        <f>IF(SUM(AP51:AP73)&lt;&gt;"",SUM(AP51:AP73),"")</f>
        <v>0</v>
      </c>
      <c r="AQ50" s="14"/>
      <c r="AR50" s="53" t="str">
        <f>IF(SUM(AR51:AR73)&lt;&gt;0,SUM(AR51:AR73),"")</f>
        <v/>
      </c>
      <c r="AT50" s="94" t="str">
        <f t="shared" ref="AT50:AT51" si="99">IF(AP50&lt;&gt;0,(AP50/AN50)-1,"")</f>
        <v/>
      </c>
      <c r="AV50" s="38">
        <f>IF(SUM(AV51:AV73)&lt;&gt;"",SUM(AV51:AV73),"")</f>
        <v>0</v>
      </c>
      <c r="AW50" s="14"/>
      <c r="AX50" s="38">
        <f>IF(SUM(AX51:AX73)&lt;&gt;"",SUM(AX51:AX73),"")</f>
        <v>0</v>
      </c>
      <c r="AY50" s="14"/>
      <c r="AZ50" s="53" t="str">
        <f>IF(SUM(AZ51:AZ73)&lt;&gt;0,SUM(AZ51:AZ73),"")</f>
        <v/>
      </c>
      <c r="BB50" s="94" t="str">
        <f t="shared" ref="BB50:BB51" si="100">IF(AX50&lt;&gt;0,(AX50/AV50)-1,"")</f>
        <v/>
      </c>
      <c r="BD50" s="38">
        <f>IF(SUM(BD51:BD73)&lt;&gt;"",SUM(BD51:BD73),"")</f>
        <v>0</v>
      </c>
      <c r="BE50" s="14"/>
      <c r="BF50" s="38">
        <f>IF(SUM(BF51:BF73)&lt;&gt;"",SUM(BF51:BF73),"")</f>
        <v>0</v>
      </c>
      <c r="BG50" s="14"/>
      <c r="BH50" s="53" t="str">
        <f>IF(SUM(BH51:BH73)&lt;&gt;0,SUM(BH51:BH73),"")</f>
        <v/>
      </c>
      <c r="BJ50" s="94" t="str">
        <f t="shared" ref="BJ50:BJ51" si="101">IF(BF50&lt;&gt;0,(BF50/BD50)-1,"")</f>
        <v/>
      </c>
      <c r="BL50" s="38">
        <f>IF(SUM(BL51:BL73)&lt;&gt;"",SUM(BL51:BL73),"")</f>
        <v>0</v>
      </c>
      <c r="BM50" s="14"/>
      <c r="BN50" s="38">
        <f>IF(SUM(BN51:BN73)&lt;&gt;"",SUM(BN51:BN73),"")</f>
        <v>0</v>
      </c>
      <c r="BO50" s="14"/>
      <c r="BP50" s="53" t="str">
        <f>IF(SUM(BP51:BP73)&lt;&gt;0,SUM(BP51:BP73),"")</f>
        <v/>
      </c>
      <c r="BR50" s="94" t="str">
        <f t="shared" ref="BR50:BR51" si="102">IF(BN50&lt;&gt;0,(BN50/BL50)-1,"")</f>
        <v/>
      </c>
      <c r="BT50" s="38">
        <f>IF(SUM(BT51:BT73)&lt;&gt;"",SUM(BT51:BT73),"")</f>
        <v>0</v>
      </c>
      <c r="BU50" s="14"/>
      <c r="BV50" s="38">
        <f>IF(SUM(BV51:BV73)&lt;&gt;"",SUM(BV51:BV73),"")</f>
        <v>0</v>
      </c>
      <c r="BW50" s="14"/>
      <c r="BX50" s="53" t="str">
        <f>IF(SUM(BX51:BX73)&lt;&gt;0,SUM(BX51:BX73),"")</f>
        <v/>
      </c>
      <c r="BZ50" s="94" t="str">
        <f t="shared" ref="BZ50:BZ51" si="103">IF(BV50&lt;&gt;0,(BV50/BT50)-1,"")</f>
        <v/>
      </c>
      <c r="CB50" s="38">
        <f>IF(SUM(CB51:CB73)&lt;&gt;"",SUM(CB51:CB73),"")</f>
        <v>0</v>
      </c>
      <c r="CC50" s="14"/>
      <c r="CD50" s="38">
        <f>IF(SUM(CD51:CD73)&lt;&gt;"",SUM(CD51:CD73),"")</f>
        <v>0</v>
      </c>
      <c r="CE50" s="14"/>
      <c r="CF50" s="53" t="str">
        <f>IF(SUM(CF51:CF73)&lt;&gt;0,SUM(CF51:CF73),"")</f>
        <v/>
      </c>
      <c r="CH50" s="94" t="str">
        <f t="shared" ref="CH50:CH51" si="104">IF(CD50&lt;&gt;0,(CD50/CB50)-1,"")</f>
        <v/>
      </c>
      <c r="CJ50" s="38">
        <f>IF(SUM(CJ51:CJ73)&lt;&gt;"",SUM(CJ51:CJ73),"")</f>
        <v>0</v>
      </c>
      <c r="CK50" s="14"/>
      <c r="CL50" s="38">
        <f>IF(SUM(CL51:CL73)&lt;&gt;"",SUM(CL51:CL73),"")</f>
        <v>0</v>
      </c>
      <c r="CM50" s="14"/>
      <c r="CN50" s="53" t="str">
        <f>IF(SUM(CN51:CN73)&lt;&gt;0,SUM(CN51:CN73),"")</f>
        <v/>
      </c>
      <c r="CP50" s="94" t="str">
        <f t="shared" ref="CP50:CP51" si="105">IF(CL50&lt;&gt;0,(CL50/CJ50)-1,"")</f>
        <v/>
      </c>
      <c r="CR50" s="38">
        <f>IF(SUM(CR51:CR73)&lt;&gt;"",SUM(CR51:CR73),"")</f>
        <v>0</v>
      </c>
      <c r="CS50" s="14"/>
      <c r="CT50" s="38">
        <f>IF(SUM(CT51:CT73)&lt;&gt;"",SUM(CT51:CT73),"")</f>
        <v>0</v>
      </c>
      <c r="CU50" s="14"/>
      <c r="CV50" s="53" t="str">
        <f>IF(SUM(CV51:CV73)&lt;&gt;0,SUM(CV51:CV73),"")</f>
        <v/>
      </c>
      <c r="CX50" s="94" t="str">
        <f t="shared" ref="CX50:CX51" si="106">IF(CT50&lt;&gt;0,(CT50/CR50)-1,"")</f>
        <v/>
      </c>
    </row>
    <row r="51" spans="2:102" ht="15.6" x14ac:dyDescent="0.3">
      <c r="B51" s="50"/>
      <c r="C51" s="21" t="s">
        <v>21</v>
      </c>
      <c r="D51" s="78" t="e">
        <f>IF(AVERAGE(J51,R51,Z51,AH51,AP51,AX51,BF51,BN51,BV51,CD51,CL51,CT51)&lt;&gt;"",AVERAGE(J51,R51,Z51,AH51,AP51,AX51,BF51,BN51,BV51,CD51,CL51,CT51),"")</f>
        <v>#DIV/0!</v>
      </c>
      <c r="E51" s="130">
        <f>IF(SUM(J51,R51,Z51,AH51,AP51,AX51,BF51,BN51,BV51,CD51,CL51,CT51)&lt;&gt;"",SUM(J51,R51,Z51,AH51,AP51,AX51,BF51,BN51,BV51,CD51,CL51,CT51),"")</f>
        <v>0</v>
      </c>
      <c r="F51" s="73" t="str">
        <f t="shared" ref="F51:F71" si="107">IF(E51&lt;&gt;0,E51/E$7,"")</f>
        <v/>
      </c>
      <c r="H51" s="63"/>
      <c r="J51" s="150"/>
      <c r="L51" s="28" t="str">
        <f>IF(J51&lt;&gt;"",J51/J$7,"")</f>
        <v/>
      </c>
      <c r="N51" s="90" t="str">
        <f t="shared" ref="N51:N71" si="108">IF(J51&lt;&gt;0,(J51/D51)-1,"")</f>
        <v/>
      </c>
      <c r="P51" s="63"/>
      <c r="Q51" s="14"/>
      <c r="R51" s="150"/>
      <c r="S51" s="14"/>
      <c r="T51" s="28" t="str">
        <f>IF(R51&lt;&gt;"",R51/R$7,"")</f>
        <v/>
      </c>
      <c r="V51" s="90" t="str">
        <f t="shared" si="96"/>
        <v/>
      </c>
      <c r="X51" s="63"/>
      <c r="Y51" s="14"/>
      <c r="Z51" s="150"/>
      <c r="AA51" s="14"/>
      <c r="AB51" s="28" t="str">
        <f>IF(Z51&lt;&gt;"",Z51/Z$7,"")</f>
        <v/>
      </c>
      <c r="AC51" s="14"/>
      <c r="AD51" s="90" t="str">
        <f t="shared" si="97"/>
        <v/>
      </c>
      <c r="AF51" s="63"/>
      <c r="AG51" s="14"/>
      <c r="AH51" s="150"/>
      <c r="AI51" s="14"/>
      <c r="AJ51" s="28" t="str">
        <f>IF(AH51&lt;&gt;"",AH51/AH$7,"")</f>
        <v/>
      </c>
      <c r="AL51" s="90" t="str">
        <f t="shared" si="98"/>
        <v/>
      </c>
      <c r="AN51" s="63"/>
      <c r="AO51" s="14"/>
      <c r="AP51" s="150"/>
      <c r="AQ51" s="14"/>
      <c r="AR51" s="28" t="str">
        <f>IF(AP51&lt;&gt;"",AP51/AP$7,"")</f>
        <v/>
      </c>
      <c r="AT51" s="90" t="str">
        <f t="shared" si="99"/>
        <v/>
      </c>
      <c r="AV51" s="63"/>
      <c r="AW51" s="14"/>
      <c r="AX51" s="150"/>
      <c r="AY51" s="14"/>
      <c r="AZ51" s="28" t="str">
        <f>IF(AX51&lt;&gt;"",AX51/AX$7,"")</f>
        <v/>
      </c>
      <c r="BB51" s="90" t="str">
        <f t="shared" si="100"/>
        <v/>
      </c>
      <c r="BD51" s="63"/>
      <c r="BE51" s="14"/>
      <c r="BF51" s="150"/>
      <c r="BG51" s="14"/>
      <c r="BH51" s="28" t="str">
        <f>IF(BF51&lt;&gt;"",BF51/BF$7,"")</f>
        <v/>
      </c>
      <c r="BJ51" s="90" t="str">
        <f t="shared" si="101"/>
        <v/>
      </c>
      <c r="BL51" s="63"/>
      <c r="BM51" s="14"/>
      <c r="BN51" s="150"/>
      <c r="BO51" s="14"/>
      <c r="BP51" s="28" t="str">
        <f>IF(BN51&lt;&gt;"",BN51/BN$7,"")</f>
        <v/>
      </c>
      <c r="BR51" s="90" t="str">
        <f t="shared" si="102"/>
        <v/>
      </c>
      <c r="BT51" s="63"/>
      <c r="BU51" s="14"/>
      <c r="BV51" s="150"/>
      <c r="BW51" s="14"/>
      <c r="BX51" s="28" t="str">
        <f>IF(BV51&lt;&gt;"",BV51/BV$7,"")</f>
        <v/>
      </c>
      <c r="BZ51" s="90" t="str">
        <f t="shared" si="103"/>
        <v/>
      </c>
      <c r="CB51" s="63"/>
      <c r="CC51" s="14"/>
      <c r="CD51" s="150"/>
      <c r="CE51" s="14"/>
      <c r="CF51" s="28" t="str">
        <f>IF(CD51&lt;&gt;"",CD51/CD$7,"")</f>
        <v/>
      </c>
      <c r="CH51" s="90" t="str">
        <f t="shared" si="104"/>
        <v/>
      </c>
      <c r="CJ51" s="63"/>
      <c r="CK51" s="14"/>
      <c r="CL51" s="150"/>
      <c r="CM51" s="14"/>
      <c r="CN51" s="28" t="str">
        <f>IF(CL51&lt;&gt;"",CL51/CL$7,"")</f>
        <v/>
      </c>
      <c r="CP51" s="90" t="str">
        <f t="shared" si="105"/>
        <v/>
      </c>
      <c r="CR51" s="63"/>
      <c r="CS51" s="14"/>
      <c r="CT51" s="150"/>
      <c r="CU51" s="14"/>
      <c r="CV51" s="28" t="str">
        <f>IF(CT51&lt;&gt;"",CT51/CT$7,"")</f>
        <v/>
      </c>
      <c r="CX51" s="90" t="str">
        <f t="shared" si="106"/>
        <v/>
      </c>
    </row>
    <row r="52" spans="2:102" ht="15.6" x14ac:dyDescent="0.3">
      <c r="B52" s="111"/>
      <c r="C52" s="21" t="s">
        <v>22</v>
      </c>
      <c r="D52" s="78" t="e">
        <f>IF(AVERAGE(J52,R52,Z52,AH52,AP52,AX52,BF52,BN52,BV52,CD52,CL52,CT52)&lt;&gt;"",AVERAGE(J52,R52,Z52,AH52,AP52,AX52,BF52,BN52,BV52,CD52,CL52,CT52),"")</f>
        <v>#DIV/0!</v>
      </c>
      <c r="E52" s="130">
        <f>IF(SUM(J52,R52,Z52,AH52,AP52,AX52,BF52,BN52,BV52,CD52,CL52,CT52)&lt;&gt;"",SUM(J52,R52,Z52,AH52,AP52,AX52,BF52,BN52,BV52,CD52,CL52,CT52),"")</f>
        <v>0</v>
      </c>
      <c r="F52" s="79" t="str">
        <f t="shared" si="107"/>
        <v/>
      </c>
      <c r="H52" s="35"/>
      <c r="J52" s="147"/>
      <c r="L52" s="28" t="str">
        <f>IF(J52&lt;&gt;"",J52/J$7,"")</f>
        <v/>
      </c>
      <c r="N52" s="90" t="str">
        <f t="shared" si="108"/>
        <v/>
      </c>
      <c r="P52" s="35"/>
      <c r="Q52" s="14"/>
      <c r="R52" s="147"/>
      <c r="S52" s="14"/>
      <c r="T52" s="28" t="str">
        <f>IF(R52&lt;&gt;"",R52/R$7,"")</f>
        <v/>
      </c>
      <c r="V52" s="90"/>
      <c r="X52" s="35"/>
      <c r="Y52" s="14"/>
      <c r="Z52" s="147"/>
      <c r="AA52" s="14"/>
      <c r="AB52" s="28" t="str">
        <f>IF(Z52&lt;&gt;"",Z52/Z$7,"")</f>
        <v/>
      </c>
      <c r="AC52" s="14"/>
      <c r="AD52" s="90"/>
      <c r="AF52" s="35"/>
      <c r="AG52" s="14"/>
      <c r="AH52" s="147"/>
      <c r="AI52" s="14"/>
      <c r="AJ52" s="28" t="str">
        <f>IF(AH52&lt;&gt;"",AH52/AH$7,"")</f>
        <v/>
      </c>
      <c r="AL52" s="90"/>
      <c r="AN52" s="35"/>
      <c r="AO52" s="14"/>
      <c r="AP52" s="147"/>
      <c r="AQ52" s="14"/>
      <c r="AR52" s="28" t="str">
        <f>IF(AP52&lt;&gt;"",AP52/AP$7,"")</f>
        <v/>
      </c>
      <c r="AT52" s="90"/>
      <c r="AV52" s="35"/>
      <c r="AW52" s="14"/>
      <c r="AX52" s="147"/>
      <c r="AY52" s="14"/>
      <c r="AZ52" s="28" t="str">
        <f>IF(AX52&lt;&gt;"",AX52/AX$7,"")</f>
        <v/>
      </c>
      <c r="BB52" s="90"/>
      <c r="BD52" s="35"/>
      <c r="BE52" s="14"/>
      <c r="BF52" s="147"/>
      <c r="BG52" s="14"/>
      <c r="BH52" s="28" t="str">
        <f>IF(BF52&lt;&gt;"",BF52/BF$7,"")</f>
        <v/>
      </c>
      <c r="BJ52" s="90"/>
      <c r="BL52" s="35"/>
      <c r="BM52" s="14"/>
      <c r="BN52" s="147"/>
      <c r="BO52" s="14"/>
      <c r="BP52" s="28" t="str">
        <f>IF(BN52&lt;&gt;"",BN52/BN$7,"")</f>
        <v/>
      </c>
      <c r="BR52" s="90"/>
      <c r="BT52" s="35"/>
      <c r="BU52" s="14"/>
      <c r="BV52" s="147"/>
      <c r="BW52" s="14"/>
      <c r="BX52" s="28" t="str">
        <f>IF(BV52&lt;&gt;"",BV52/BV$7,"")</f>
        <v/>
      </c>
      <c r="BZ52" s="90"/>
      <c r="CB52" s="35"/>
      <c r="CC52" s="14"/>
      <c r="CD52" s="147"/>
      <c r="CE52" s="14"/>
      <c r="CF52" s="28" t="str">
        <f>IF(CD52&lt;&gt;"",CD52/CD$7,"")</f>
        <v/>
      </c>
      <c r="CH52" s="90"/>
      <c r="CJ52" s="35"/>
      <c r="CK52" s="14"/>
      <c r="CL52" s="147"/>
      <c r="CM52" s="14"/>
      <c r="CN52" s="28" t="str">
        <f>IF(CL52&lt;&gt;"",CL52/CL$7,"")</f>
        <v/>
      </c>
      <c r="CP52" s="90"/>
      <c r="CR52" s="35"/>
      <c r="CS52" s="14"/>
      <c r="CT52" s="147"/>
      <c r="CU52" s="14"/>
      <c r="CV52" s="28" t="str">
        <f>IF(CT52&lt;&gt;"",CT52/CT$7,"")</f>
        <v/>
      </c>
      <c r="CX52" s="90"/>
    </row>
    <row r="53" spans="2:102" ht="15.6" x14ac:dyDescent="0.3">
      <c r="B53" s="111"/>
      <c r="C53" s="21" t="s">
        <v>118</v>
      </c>
      <c r="D53" s="78" t="e">
        <f t="shared" ref="D53:D71" si="109">IF(AVERAGE(J53,R53,Z53,AH53,AP53,AX53,BF53,BN53,BV53,CD53,CL53,CT53)&lt;&gt;"",AVERAGE(J53,R53,Z53,AH53,AP53,AX53,BF53,BN53,BV53,CD53,CL53,CT53),"")</f>
        <v>#DIV/0!</v>
      </c>
      <c r="E53" s="130">
        <f t="shared" ref="E53:E71" si="110">IF(SUM(J53,R53,Z53,AH53,AP53,AX53,BF53,BN53,BV53,CD53,CL53,CT53)&lt;&gt;"",SUM(J53,R53,Z53,AH53,AP53,AX53,BF53,BN53,BV53,CD53,CL53,CT53),"")</f>
        <v>0</v>
      </c>
      <c r="F53" s="73" t="str">
        <f t="shared" si="107"/>
        <v/>
      </c>
      <c r="H53" s="35"/>
      <c r="J53" s="147"/>
      <c r="L53" s="28" t="str">
        <f t="shared" ref="L53:L71" si="111">IF(J53&lt;&gt;"",J53/J$7,"")</f>
        <v/>
      </c>
      <c r="N53" s="90" t="str">
        <f t="shared" si="108"/>
        <v/>
      </c>
      <c r="P53" s="35"/>
      <c r="Q53" s="14"/>
      <c r="R53" s="147"/>
      <c r="S53" s="14"/>
      <c r="T53" s="28" t="str">
        <f t="shared" ref="T53:T71" si="112">IF(R53&lt;&gt;"",R53/R$7,"")</f>
        <v/>
      </c>
      <c r="V53" s="90"/>
      <c r="X53" s="35"/>
      <c r="Y53" s="14"/>
      <c r="Z53" s="147"/>
      <c r="AA53" s="14"/>
      <c r="AB53" s="28" t="str">
        <f t="shared" ref="AB53:AB71" si="113">IF(Z53&lt;&gt;"",Z53/Z$7,"")</f>
        <v/>
      </c>
      <c r="AC53" s="14"/>
      <c r="AD53" s="90"/>
      <c r="AF53" s="35"/>
      <c r="AG53" s="14"/>
      <c r="AH53" s="147"/>
      <c r="AI53" s="14"/>
      <c r="AJ53" s="28" t="str">
        <f t="shared" ref="AJ53:AJ71" si="114">IF(AH53&lt;&gt;"",AH53/AH$7,"")</f>
        <v/>
      </c>
      <c r="AL53" s="90"/>
      <c r="AN53" s="35"/>
      <c r="AO53" s="14"/>
      <c r="AP53" s="147"/>
      <c r="AQ53" s="14"/>
      <c r="AR53" s="28" t="str">
        <f t="shared" ref="AR53:AR71" si="115">IF(AP53&lt;&gt;"",AP53/AP$7,"")</f>
        <v/>
      </c>
      <c r="AT53" s="90"/>
      <c r="AV53" s="35"/>
      <c r="AW53" s="14"/>
      <c r="AX53" s="147"/>
      <c r="AY53" s="14"/>
      <c r="AZ53" s="28" t="str">
        <f t="shared" ref="AZ53:AZ71" si="116">IF(AX53&lt;&gt;"",AX53/AX$7,"")</f>
        <v/>
      </c>
      <c r="BB53" s="90"/>
      <c r="BD53" s="35"/>
      <c r="BE53" s="14"/>
      <c r="BF53" s="147"/>
      <c r="BG53" s="14"/>
      <c r="BH53" s="28" t="str">
        <f t="shared" ref="BH53:BH71" si="117">IF(BF53&lt;&gt;"",BF53/BF$7,"")</f>
        <v/>
      </c>
      <c r="BJ53" s="90"/>
      <c r="BL53" s="35"/>
      <c r="BM53" s="14"/>
      <c r="BN53" s="147"/>
      <c r="BO53" s="14"/>
      <c r="BP53" s="28" t="str">
        <f t="shared" ref="BP53:BP71" si="118">IF(BN53&lt;&gt;"",BN53/BN$7,"")</f>
        <v/>
      </c>
      <c r="BR53" s="90"/>
      <c r="BT53" s="35"/>
      <c r="BU53" s="14"/>
      <c r="BV53" s="147"/>
      <c r="BW53" s="14"/>
      <c r="BX53" s="28" t="str">
        <f t="shared" ref="BX53:BX71" si="119">IF(BV53&lt;&gt;"",BV53/BV$7,"")</f>
        <v/>
      </c>
      <c r="BZ53" s="90"/>
      <c r="CB53" s="35"/>
      <c r="CC53" s="14"/>
      <c r="CD53" s="147"/>
      <c r="CE53" s="14"/>
      <c r="CF53" s="28" t="str">
        <f t="shared" ref="CF53:CF71" si="120">IF(CD53&lt;&gt;"",CD53/CD$7,"")</f>
        <v/>
      </c>
      <c r="CH53" s="90"/>
      <c r="CJ53" s="35"/>
      <c r="CK53" s="14"/>
      <c r="CL53" s="147"/>
      <c r="CM53" s="14"/>
      <c r="CN53" s="28" t="str">
        <f t="shared" ref="CN53:CN71" si="121">IF(CL53&lt;&gt;"",CL53/CL$7,"")</f>
        <v/>
      </c>
      <c r="CP53" s="90"/>
      <c r="CR53" s="35"/>
      <c r="CS53" s="14"/>
      <c r="CT53" s="147"/>
      <c r="CU53" s="14"/>
      <c r="CV53" s="28" t="str">
        <f t="shared" ref="CV53:CV71" si="122">IF(CT53&lt;&gt;"",CT53/CT$7,"")</f>
        <v/>
      </c>
      <c r="CX53" s="90"/>
    </row>
    <row r="54" spans="2:102" ht="15.6" x14ac:dyDescent="0.3">
      <c r="B54" s="111"/>
      <c r="C54" s="22" t="s">
        <v>117</v>
      </c>
      <c r="D54" s="78" t="e">
        <f t="shared" si="109"/>
        <v>#DIV/0!</v>
      </c>
      <c r="E54" s="130">
        <f t="shared" si="110"/>
        <v>0</v>
      </c>
      <c r="F54" s="73" t="str">
        <f t="shared" si="107"/>
        <v/>
      </c>
      <c r="H54" s="35"/>
      <c r="J54" s="147"/>
      <c r="L54" s="28" t="str">
        <f t="shared" si="111"/>
        <v/>
      </c>
      <c r="N54" s="90" t="str">
        <f t="shared" si="108"/>
        <v/>
      </c>
      <c r="P54" s="35"/>
      <c r="Q54" s="14"/>
      <c r="R54" s="147"/>
      <c r="S54" s="14"/>
      <c r="T54" s="28" t="str">
        <f t="shared" si="112"/>
        <v/>
      </c>
      <c r="V54" s="90"/>
      <c r="X54" s="35"/>
      <c r="Y54" s="14"/>
      <c r="Z54" s="147"/>
      <c r="AA54" s="14"/>
      <c r="AB54" s="28" t="str">
        <f t="shared" si="113"/>
        <v/>
      </c>
      <c r="AC54" s="14"/>
      <c r="AD54" s="90"/>
      <c r="AF54" s="35"/>
      <c r="AG54" s="14"/>
      <c r="AH54" s="147"/>
      <c r="AI54" s="14"/>
      <c r="AJ54" s="28" t="str">
        <f t="shared" si="114"/>
        <v/>
      </c>
      <c r="AL54" s="90"/>
      <c r="AN54" s="35"/>
      <c r="AO54" s="14"/>
      <c r="AP54" s="147"/>
      <c r="AQ54" s="14"/>
      <c r="AR54" s="28" t="str">
        <f t="shared" si="115"/>
        <v/>
      </c>
      <c r="AT54" s="90"/>
      <c r="AV54" s="35"/>
      <c r="AW54" s="14"/>
      <c r="AX54" s="147"/>
      <c r="AY54" s="14"/>
      <c r="AZ54" s="28" t="str">
        <f t="shared" si="116"/>
        <v/>
      </c>
      <c r="BB54" s="90"/>
      <c r="BD54" s="35"/>
      <c r="BE54" s="14"/>
      <c r="BF54" s="147"/>
      <c r="BG54" s="14"/>
      <c r="BH54" s="28" t="str">
        <f t="shared" si="117"/>
        <v/>
      </c>
      <c r="BJ54" s="90"/>
      <c r="BL54" s="35"/>
      <c r="BM54" s="14"/>
      <c r="BN54" s="147"/>
      <c r="BO54" s="14"/>
      <c r="BP54" s="28" t="str">
        <f t="shared" si="118"/>
        <v/>
      </c>
      <c r="BR54" s="90"/>
      <c r="BT54" s="35"/>
      <c r="BU54" s="14"/>
      <c r="BV54" s="147"/>
      <c r="BW54" s="14"/>
      <c r="BX54" s="28" t="str">
        <f t="shared" si="119"/>
        <v/>
      </c>
      <c r="BZ54" s="90"/>
      <c r="CB54" s="35"/>
      <c r="CC54" s="14"/>
      <c r="CD54" s="147"/>
      <c r="CE54" s="14"/>
      <c r="CF54" s="28" t="str">
        <f t="shared" si="120"/>
        <v/>
      </c>
      <c r="CH54" s="90"/>
      <c r="CJ54" s="35"/>
      <c r="CK54" s="14"/>
      <c r="CL54" s="147"/>
      <c r="CM54" s="14"/>
      <c r="CN54" s="28" t="str">
        <f t="shared" si="121"/>
        <v/>
      </c>
      <c r="CP54" s="90"/>
      <c r="CR54" s="35"/>
      <c r="CS54" s="14"/>
      <c r="CT54" s="147"/>
      <c r="CU54" s="14"/>
      <c r="CV54" s="28" t="str">
        <f t="shared" si="122"/>
        <v/>
      </c>
      <c r="CX54" s="90"/>
    </row>
    <row r="55" spans="2:102" ht="15.6" x14ac:dyDescent="0.3">
      <c r="B55" s="111"/>
      <c r="C55" s="21" t="s">
        <v>93</v>
      </c>
      <c r="D55" s="78" t="e">
        <f t="shared" si="109"/>
        <v>#DIV/0!</v>
      </c>
      <c r="E55" s="130">
        <f t="shared" si="110"/>
        <v>0</v>
      </c>
      <c r="F55" s="73" t="str">
        <f t="shared" si="107"/>
        <v/>
      </c>
      <c r="H55" s="35"/>
      <c r="J55" s="147"/>
      <c r="L55" s="28" t="str">
        <f t="shared" si="111"/>
        <v/>
      </c>
      <c r="N55" s="90" t="str">
        <f t="shared" si="108"/>
        <v/>
      </c>
      <c r="P55" s="35"/>
      <c r="Q55" s="14"/>
      <c r="R55" s="147"/>
      <c r="S55" s="14"/>
      <c r="T55" s="28" t="str">
        <f t="shared" si="112"/>
        <v/>
      </c>
      <c r="V55" s="90"/>
      <c r="X55" s="35"/>
      <c r="Y55" s="14"/>
      <c r="Z55" s="147"/>
      <c r="AA55" s="14"/>
      <c r="AB55" s="28" t="str">
        <f t="shared" si="113"/>
        <v/>
      </c>
      <c r="AC55" s="14"/>
      <c r="AD55" s="90"/>
      <c r="AF55" s="35"/>
      <c r="AG55" s="14"/>
      <c r="AH55" s="147"/>
      <c r="AI55" s="14"/>
      <c r="AJ55" s="28" t="str">
        <f t="shared" si="114"/>
        <v/>
      </c>
      <c r="AL55" s="90"/>
      <c r="AN55" s="35"/>
      <c r="AO55" s="14"/>
      <c r="AP55" s="147"/>
      <c r="AQ55" s="14"/>
      <c r="AR55" s="28" t="str">
        <f t="shared" si="115"/>
        <v/>
      </c>
      <c r="AT55" s="90"/>
      <c r="AV55" s="35"/>
      <c r="AW55" s="14"/>
      <c r="AX55" s="147"/>
      <c r="AY55" s="14"/>
      <c r="AZ55" s="28" t="str">
        <f t="shared" si="116"/>
        <v/>
      </c>
      <c r="BB55" s="90"/>
      <c r="BD55" s="35"/>
      <c r="BE55" s="14"/>
      <c r="BF55" s="147"/>
      <c r="BG55" s="14"/>
      <c r="BH55" s="28" t="str">
        <f t="shared" si="117"/>
        <v/>
      </c>
      <c r="BJ55" s="90"/>
      <c r="BL55" s="35"/>
      <c r="BM55" s="14"/>
      <c r="BN55" s="147"/>
      <c r="BO55" s="14"/>
      <c r="BP55" s="28" t="str">
        <f t="shared" si="118"/>
        <v/>
      </c>
      <c r="BR55" s="90"/>
      <c r="BT55" s="35"/>
      <c r="BU55" s="14"/>
      <c r="BV55" s="147"/>
      <c r="BW55" s="14"/>
      <c r="BX55" s="28" t="str">
        <f t="shared" si="119"/>
        <v/>
      </c>
      <c r="BZ55" s="90"/>
      <c r="CB55" s="35"/>
      <c r="CC55" s="14"/>
      <c r="CD55" s="147"/>
      <c r="CE55" s="14"/>
      <c r="CF55" s="28" t="str">
        <f t="shared" si="120"/>
        <v/>
      </c>
      <c r="CH55" s="90"/>
      <c r="CJ55" s="35"/>
      <c r="CK55" s="14"/>
      <c r="CL55" s="147"/>
      <c r="CM55" s="14"/>
      <c r="CN55" s="28" t="str">
        <f t="shared" si="121"/>
        <v/>
      </c>
      <c r="CP55" s="90"/>
      <c r="CR55" s="35"/>
      <c r="CS55" s="14"/>
      <c r="CT55" s="147"/>
      <c r="CU55" s="14"/>
      <c r="CV55" s="28" t="str">
        <f t="shared" si="122"/>
        <v/>
      </c>
      <c r="CX55" s="90"/>
    </row>
    <row r="56" spans="2:102" ht="15.6" x14ac:dyDescent="0.3">
      <c r="B56" s="111"/>
      <c r="C56" s="21" t="s">
        <v>122</v>
      </c>
      <c r="D56" s="78" t="e">
        <f t="shared" si="109"/>
        <v>#DIV/0!</v>
      </c>
      <c r="E56" s="130">
        <f t="shared" si="110"/>
        <v>0</v>
      </c>
      <c r="F56" s="73" t="str">
        <f t="shared" si="107"/>
        <v/>
      </c>
      <c r="H56" s="35"/>
      <c r="J56" s="147"/>
      <c r="L56" s="28" t="str">
        <f t="shared" si="111"/>
        <v/>
      </c>
      <c r="N56" s="90" t="str">
        <f t="shared" si="108"/>
        <v/>
      </c>
      <c r="P56" s="35"/>
      <c r="Q56" s="14"/>
      <c r="R56" s="147"/>
      <c r="S56" s="14"/>
      <c r="T56" s="28" t="str">
        <f t="shared" si="112"/>
        <v/>
      </c>
      <c r="V56" s="90"/>
      <c r="X56" s="35"/>
      <c r="Y56" s="14"/>
      <c r="Z56" s="147"/>
      <c r="AA56" s="14"/>
      <c r="AB56" s="28" t="str">
        <f t="shared" si="113"/>
        <v/>
      </c>
      <c r="AC56" s="14"/>
      <c r="AD56" s="90"/>
      <c r="AF56" s="35"/>
      <c r="AG56" s="14"/>
      <c r="AH56" s="147"/>
      <c r="AI56" s="14"/>
      <c r="AJ56" s="28" t="str">
        <f t="shared" si="114"/>
        <v/>
      </c>
      <c r="AL56" s="90"/>
      <c r="AN56" s="35"/>
      <c r="AO56" s="14"/>
      <c r="AP56" s="147"/>
      <c r="AQ56" s="14"/>
      <c r="AR56" s="28" t="str">
        <f t="shared" si="115"/>
        <v/>
      </c>
      <c r="AT56" s="90"/>
      <c r="AV56" s="35"/>
      <c r="AW56" s="14"/>
      <c r="AX56" s="147"/>
      <c r="AY56" s="14"/>
      <c r="AZ56" s="28" t="str">
        <f t="shared" si="116"/>
        <v/>
      </c>
      <c r="BB56" s="90"/>
      <c r="BD56" s="35"/>
      <c r="BE56" s="14"/>
      <c r="BF56" s="147"/>
      <c r="BG56" s="14"/>
      <c r="BH56" s="28" t="str">
        <f t="shared" si="117"/>
        <v/>
      </c>
      <c r="BJ56" s="90"/>
      <c r="BL56" s="35"/>
      <c r="BM56" s="14"/>
      <c r="BN56" s="147"/>
      <c r="BO56" s="14"/>
      <c r="BP56" s="28" t="str">
        <f t="shared" si="118"/>
        <v/>
      </c>
      <c r="BR56" s="90"/>
      <c r="BT56" s="35"/>
      <c r="BU56" s="14"/>
      <c r="BV56" s="147"/>
      <c r="BW56" s="14"/>
      <c r="BX56" s="28" t="str">
        <f t="shared" si="119"/>
        <v/>
      </c>
      <c r="BZ56" s="90"/>
      <c r="CB56" s="35"/>
      <c r="CC56" s="14"/>
      <c r="CD56" s="147"/>
      <c r="CE56" s="14"/>
      <c r="CF56" s="28" t="str">
        <f t="shared" si="120"/>
        <v/>
      </c>
      <c r="CH56" s="90"/>
      <c r="CJ56" s="35"/>
      <c r="CK56" s="14"/>
      <c r="CL56" s="147"/>
      <c r="CM56" s="14"/>
      <c r="CN56" s="28" t="str">
        <f t="shared" si="121"/>
        <v/>
      </c>
      <c r="CP56" s="90"/>
      <c r="CR56" s="35"/>
      <c r="CS56" s="14"/>
      <c r="CT56" s="147"/>
      <c r="CU56" s="14"/>
      <c r="CV56" s="28" t="str">
        <f t="shared" si="122"/>
        <v/>
      </c>
      <c r="CX56" s="90"/>
    </row>
    <row r="57" spans="2:102" ht="15.6" x14ac:dyDescent="0.3">
      <c r="B57" s="111"/>
      <c r="C57" s="21" t="s">
        <v>23</v>
      </c>
      <c r="D57" s="78" t="e">
        <f t="shared" si="109"/>
        <v>#DIV/0!</v>
      </c>
      <c r="E57" s="130">
        <f t="shared" si="110"/>
        <v>0</v>
      </c>
      <c r="F57" s="73" t="str">
        <f t="shared" si="107"/>
        <v/>
      </c>
      <c r="H57" s="35"/>
      <c r="J57" s="147"/>
      <c r="L57" s="28" t="str">
        <f t="shared" si="111"/>
        <v/>
      </c>
      <c r="N57" s="90" t="str">
        <f t="shared" si="108"/>
        <v/>
      </c>
      <c r="P57" s="35"/>
      <c r="Q57" s="14"/>
      <c r="R57" s="147"/>
      <c r="S57" s="14"/>
      <c r="T57" s="28" t="str">
        <f t="shared" si="112"/>
        <v/>
      </c>
      <c r="V57" s="90"/>
      <c r="X57" s="35"/>
      <c r="Y57" s="14"/>
      <c r="Z57" s="147"/>
      <c r="AA57" s="14"/>
      <c r="AB57" s="28" t="str">
        <f t="shared" si="113"/>
        <v/>
      </c>
      <c r="AC57" s="14"/>
      <c r="AD57" s="90"/>
      <c r="AF57" s="35"/>
      <c r="AG57" s="14"/>
      <c r="AH57" s="147"/>
      <c r="AI57" s="14"/>
      <c r="AJ57" s="28" t="str">
        <f t="shared" si="114"/>
        <v/>
      </c>
      <c r="AL57" s="90"/>
      <c r="AN57" s="35"/>
      <c r="AO57" s="14"/>
      <c r="AP57" s="147"/>
      <c r="AQ57" s="14"/>
      <c r="AR57" s="28" t="str">
        <f t="shared" si="115"/>
        <v/>
      </c>
      <c r="AT57" s="90"/>
      <c r="AV57" s="35"/>
      <c r="AW57" s="14"/>
      <c r="AX57" s="147"/>
      <c r="AY57" s="14"/>
      <c r="AZ57" s="28" t="str">
        <f t="shared" si="116"/>
        <v/>
      </c>
      <c r="BB57" s="90"/>
      <c r="BD57" s="35"/>
      <c r="BE57" s="14"/>
      <c r="BF57" s="147"/>
      <c r="BG57" s="14"/>
      <c r="BH57" s="28" t="str">
        <f t="shared" si="117"/>
        <v/>
      </c>
      <c r="BJ57" s="90"/>
      <c r="BL57" s="35"/>
      <c r="BM57" s="14"/>
      <c r="BN57" s="147"/>
      <c r="BO57" s="14"/>
      <c r="BP57" s="28" t="str">
        <f t="shared" si="118"/>
        <v/>
      </c>
      <c r="BR57" s="90"/>
      <c r="BT57" s="35"/>
      <c r="BU57" s="14"/>
      <c r="BV57" s="147"/>
      <c r="BW57" s="14"/>
      <c r="BX57" s="28" t="str">
        <f t="shared" si="119"/>
        <v/>
      </c>
      <c r="BZ57" s="90"/>
      <c r="CB57" s="35"/>
      <c r="CC57" s="14"/>
      <c r="CD57" s="147"/>
      <c r="CE57" s="14"/>
      <c r="CF57" s="28" t="str">
        <f t="shared" si="120"/>
        <v/>
      </c>
      <c r="CH57" s="90"/>
      <c r="CJ57" s="35"/>
      <c r="CK57" s="14"/>
      <c r="CL57" s="147"/>
      <c r="CM57" s="14"/>
      <c r="CN57" s="28" t="str">
        <f t="shared" si="121"/>
        <v/>
      </c>
      <c r="CP57" s="90"/>
      <c r="CR57" s="35"/>
      <c r="CS57" s="14"/>
      <c r="CT57" s="147"/>
      <c r="CU57" s="14"/>
      <c r="CV57" s="28" t="str">
        <f t="shared" si="122"/>
        <v/>
      </c>
      <c r="CX57" s="90"/>
    </row>
    <row r="58" spans="2:102" ht="15.6" x14ac:dyDescent="0.3">
      <c r="B58" s="111"/>
      <c r="C58" s="21" t="s">
        <v>120</v>
      </c>
      <c r="D58" s="78" t="e">
        <f t="shared" si="109"/>
        <v>#DIV/0!</v>
      </c>
      <c r="E58" s="130">
        <f t="shared" si="110"/>
        <v>0</v>
      </c>
      <c r="F58" s="73" t="str">
        <f t="shared" si="107"/>
        <v/>
      </c>
      <c r="H58" s="35"/>
      <c r="J58" s="147"/>
      <c r="L58" s="28" t="str">
        <f t="shared" si="111"/>
        <v/>
      </c>
      <c r="N58" s="90" t="str">
        <f t="shared" si="108"/>
        <v/>
      </c>
      <c r="P58" s="35"/>
      <c r="Q58" s="14"/>
      <c r="R58" s="147"/>
      <c r="S58" s="14"/>
      <c r="T58" s="28" t="str">
        <f t="shared" si="112"/>
        <v/>
      </c>
      <c r="V58" s="90"/>
      <c r="X58" s="35"/>
      <c r="Y58" s="14"/>
      <c r="Z58" s="147"/>
      <c r="AA58" s="14"/>
      <c r="AB58" s="28" t="str">
        <f t="shared" si="113"/>
        <v/>
      </c>
      <c r="AC58" s="14"/>
      <c r="AD58" s="90"/>
      <c r="AF58" s="35"/>
      <c r="AG58" s="14"/>
      <c r="AH58" s="147"/>
      <c r="AI58" s="14"/>
      <c r="AJ58" s="28" t="str">
        <f t="shared" si="114"/>
        <v/>
      </c>
      <c r="AL58" s="90"/>
      <c r="AN58" s="35"/>
      <c r="AO58" s="14"/>
      <c r="AP58" s="147"/>
      <c r="AQ58" s="14"/>
      <c r="AR58" s="28" t="str">
        <f t="shared" si="115"/>
        <v/>
      </c>
      <c r="AT58" s="90"/>
      <c r="AV58" s="35"/>
      <c r="AW58" s="14"/>
      <c r="AX58" s="147"/>
      <c r="AY58" s="14"/>
      <c r="AZ58" s="28" t="str">
        <f t="shared" si="116"/>
        <v/>
      </c>
      <c r="BB58" s="90"/>
      <c r="BD58" s="35"/>
      <c r="BE58" s="14"/>
      <c r="BF58" s="147"/>
      <c r="BG58" s="14"/>
      <c r="BH58" s="28" t="str">
        <f t="shared" si="117"/>
        <v/>
      </c>
      <c r="BJ58" s="90"/>
      <c r="BL58" s="35"/>
      <c r="BM58" s="14"/>
      <c r="BN58" s="147"/>
      <c r="BO58" s="14"/>
      <c r="BP58" s="28" t="str">
        <f t="shared" si="118"/>
        <v/>
      </c>
      <c r="BR58" s="90"/>
      <c r="BT58" s="35"/>
      <c r="BU58" s="14"/>
      <c r="BV58" s="147"/>
      <c r="BW58" s="14"/>
      <c r="BX58" s="28" t="str">
        <f t="shared" si="119"/>
        <v/>
      </c>
      <c r="BZ58" s="90"/>
      <c r="CB58" s="35"/>
      <c r="CC58" s="14"/>
      <c r="CD58" s="147"/>
      <c r="CE58" s="14"/>
      <c r="CF58" s="28" t="str">
        <f t="shared" si="120"/>
        <v/>
      </c>
      <c r="CH58" s="90"/>
      <c r="CJ58" s="35"/>
      <c r="CK58" s="14"/>
      <c r="CL58" s="147"/>
      <c r="CM58" s="14"/>
      <c r="CN58" s="28" t="str">
        <f t="shared" si="121"/>
        <v/>
      </c>
      <c r="CP58" s="90"/>
      <c r="CR58" s="35"/>
      <c r="CS58" s="14"/>
      <c r="CT58" s="147"/>
      <c r="CU58" s="14"/>
      <c r="CV58" s="28" t="str">
        <f t="shared" si="122"/>
        <v/>
      </c>
      <c r="CX58" s="90"/>
    </row>
    <row r="59" spans="2:102" ht="15.6" x14ac:dyDescent="0.3">
      <c r="B59" s="111"/>
      <c r="C59" s="21" t="s">
        <v>103</v>
      </c>
      <c r="D59" s="78" t="e">
        <f t="shared" si="109"/>
        <v>#DIV/0!</v>
      </c>
      <c r="E59" s="130">
        <f t="shared" si="110"/>
        <v>0</v>
      </c>
      <c r="F59" s="73" t="str">
        <f t="shared" si="107"/>
        <v/>
      </c>
      <c r="H59" s="35"/>
      <c r="J59" s="147"/>
      <c r="L59" s="28" t="str">
        <f t="shared" si="111"/>
        <v/>
      </c>
      <c r="N59" s="90" t="str">
        <f t="shared" si="108"/>
        <v/>
      </c>
      <c r="P59" s="35"/>
      <c r="Q59" s="14"/>
      <c r="R59" s="147"/>
      <c r="S59" s="14"/>
      <c r="T59" s="28" t="str">
        <f t="shared" si="112"/>
        <v/>
      </c>
      <c r="V59" s="90"/>
      <c r="X59" s="35"/>
      <c r="Y59" s="14"/>
      <c r="Z59" s="147"/>
      <c r="AA59" s="14"/>
      <c r="AB59" s="28" t="str">
        <f t="shared" si="113"/>
        <v/>
      </c>
      <c r="AC59" s="14"/>
      <c r="AD59" s="90"/>
      <c r="AF59" s="35"/>
      <c r="AG59" s="14"/>
      <c r="AH59" s="147"/>
      <c r="AI59" s="14"/>
      <c r="AJ59" s="28" t="str">
        <f t="shared" si="114"/>
        <v/>
      </c>
      <c r="AL59" s="90"/>
      <c r="AN59" s="35"/>
      <c r="AO59" s="14"/>
      <c r="AP59" s="147"/>
      <c r="AQ59" s="14"/>
      <c r="AR59" s="28" t="str">
        <f t="shared" si="115"/>
        <v/>
      </c>
      <c r="AT59" s="90"/>
      <c r="AV59" s="35"/>
      <c r="AW59" s="14"/>
      <c r="AX59" s="147"/>
      <c r="AY59" s="14"/>
      <c r="AZ59" s="28" t="str">
        <f t="shared" si="116"/>
        <v/>
      </c>
      <c r="BB59" s="90"/>
      <c r="BD59" s="35"/>
      <c r="BE59" s="14"/>
      <c r="BF59" s="147"/>
      <c r="BG59" s="14"/>
      <c r="BH59" s="28" t="str">
        <f t="shared" si="117"/>
        <v/>
      </c>
      <c r="BJ59" s="90"/>
      <c r="BL59" s="35"/>
      <c r="BM59" s="14"/>
      <c r="BN59" s="147"/>
      <c r="BO59" s="14"/>
      <c r="BP59" s="28" t="str">
        <f t="shared" si="118"/>
        <v/>
      </c>
      <c r="BR59" s="90"/>
      <c r="BT59" s="35"/>
      <c r="BU59" s="14"/>
      <c r="BV59" s="147"/>
      <c r="BW59" s="14"/>
      <c r="BX59" s="28" t="str">
        <f t="shared" si="119"/>
        <v/>
      </c>
      <c r="BZ59" s="90"/>
      <c r="CB59" s="35"/>
      <c r="CC59" s="14"/>
      <c r="CD59" s="147"/>
      <c r="CE59" s="14"/>
      <c r="CF59" s="28" t="str">
        <f t="shared" si="120"/>
        <v/>
      </c>
      <c r="CH59" s="90"/>
      <c r="CJ59" s="35"/>
      <c r="CK59" s="14"/>
      <c r="CL59" s="147"/>
      <c r="CM59" s="14"/>
      <c r="CN59" s="28" t="str">
        <f t="shared" si="121"/>
        <v/>
      </c>
      <c r="CP59" s="90"/>
      <c r="CR59" s="35"/>
      <c r="CS59" s="14"/>
      <c r="CT59" s="147"/>
      <c r="CU59" s="14"/>
      <c r="CV59" s="28" t="str">
        <f t="shared" si="122"/>
        <v/>
      </c>
      <c r="CX59" s="90"/>
    </row>
    <row r="60" spans="2:102" ht="15.6" x14ac:dyDescent="0.3">
      <c r="B60" s="111"/>
      <c r="C60" s="21" t="s">
        <v>121</v>
      </c>
      <c r="D60" s="78" t="e">
        <f t="shared" si="109"/>
        <v>#DIV/0!</v>
      </c>
      <c r="E60" s="130">
        <f t="shared" si="110"/>
        <v>0</v>
      </c>
      <c r="F60" s="73" t="str">
        <f t="shared" si="107"/>
        <v/>
      </c>
      <c r="H60" s="35"/>
      <c r="J60" s="147"/>
      <c r="L60" s="28" t="str">
        <f t="shared" si="111"/>
        <v/>
      </c>
      <c r="N60" s="90" t="str">
        <f t="shared" si="108"/>
        <v/>
      </c>
      <c r="P60" s="35"/>
      <c r="Q60" s="14"/>
      <c r="R60" s="147"/>
      <c r="S60" s="14"/>
      <c r="T60" s="28" t="str">
        <f t="shared" si="112"/>
        <v/>
      </c>
      <c r="V60" s="90"/>
      <c r="X60" s="35"/>
      <c r="Y60" s="14"/>
      <c r="Z60" s="147"/>
      <c r="AA60" s="14"/>
      <c r="AB60" s="28" t="str">
        <f t="shared" si="113"/>
        <v/>
      </c>
      <c r="AC60" s="14"/>
      <c r="AD60" s="90"/>
      <c r="AF60" s="35"/>
      <c r="AG60" s="14"/>
      <c r="AH60" s="147"/>
      <c r="AI60" s="14"/>
      <c r="AJ60" s="28" t="str">
        <f t="shared" si="114"/>
        <v/>
      </c>
      <c r="AL60" s="90"/>
      <c r="AN60" s="35"/>
      <c r="AO60" s="14"/>
      <c r="AP60" s="147"/>
      <c r="AQ60" s="14"/>
      <c r="AR60" s="28" t="str">
        <f t="shared" si="115"/>
        <v/>
      </c>
      <c r="AT60" s="90"/>
      <c r="AV60" s="35"/>
      <c r="AW60" s="14"/>
      <c r="AX60" s="147"/>
      <c r="AY60" s="14"/>
      <c r="AZ60" s="28" t="str">
        <f t="shared" si="116"/>
        <v/>
      </c>
      <c r="BB60" s="90"/>
      <c r="BD60" s="35"/>
      <c r="BE60" s="14"/>
      <c r="BF60" s="147"/>
      <c r="BG60" s="14"/>
      <c r="BH60" s="28" t="str">
        <f t="shared" si="117"/>
        <v/>
      </c>
      <c r="BJ60" s="90"/>
      <c r="BL60" s="35"/>
      <c r="BM60" s="14"/>
      <c r="BN60" s="147"/>
      <c r="BO60" s="14"/>
      <c r="BP60" s="28" t="str">
        <f t="shared" si="118"/>
        <v/>
      </c>
      <c r="BR60" s="90"/>
      <c r="BT60" s="35"/>
      <c r="BU60" s="14"/>
      <c r="BV60" s="147"/>
      <c r="BW60" s="14"/>
      <c r="BX60" s="28" t="str">
        <f t="shared" si="119"/>
        <v/>
      </c>
      <c r="BZ60" s="90"/>
      <c r="CB60" s="35"/>
      <c r="CC60" s="14"/>
      <c r="CD60" s="147"/>
      <c r="CE60" s="14"/>
      <c r="CF60" s="28" t="str">
        <f t="shared" si="120"/>
        <v/>
      </c>
      <c r="CH60" s="90"/>
      <c r="CJ60" s="35"/>
      <c r="CK60" s="14"/>
      <c r="CL60" s="147"/>
      <c r="CM60" s="14"/>
      <c r="CN60" s="28" t="str">
        <f t="shared" si="121"/>
        <v/>
      </c>
      <c r="CP60" s="90"/>
      <c r="CR60" s="35"/>
      <c r="CS60" s="14"/>
      <c r="CT60" s="147"/>
      <c r="CU60" s="14"/>
      <c r="CV60" s="28" t="str">
        <f t="shared" si="122"/>
        <v/>
      </c>
      <c r="CX60" s="90"/>
    </row>
    <row r="61" spans="2:102" ht="15.6" x14ac:dyDescent="0.3">
      <c r="B61" s="111"/>
      <c r="C61" s="21" t="s">
        <v>24</v>
      </c>
      <c r="D61" s="78" t="e">
        <f t="shared" si="109"/>
        <v>#DIV/0!</v>
      </c>
      <c r="E61" s="130">
        <f t="shared" si="110"/>
        <v>0</v>
      </c>
      <c r="F61" s="73" t="str">
        <f t="shared" si="107"/>
        <v/>
      </c>
      <c r="H61" s="35"/>
      <c r="J61" s="147"/>
      <c r="L61" s="28" t="str">
        <f t="shared" si="111"/>
        <v/>
      </c>
      <c r="N61" s="90" t="str">
        <f t="shared" si="108"/>
        <v/>
      </c>
      <c r="P61" s="35"/>
      <c r="Q61" s="14"/>
      <c r="R61" s="147"/>
      <c r="S61" s="14"/>
      <c r="T61" s="28" t="str">
        <f t="shared" si="112"/>
        <v/>
      </c>
      <c r="V61" s="90"/>
      <c r="X61" s="35"/>
      <c r="Y61" s="14"/>
      <c r="Z61" s="147"/>
      <c r="AA61" s="14"/>
      <c r="AB61" s="28" t="str">
        <f t="shared" si="113"/>
        <v/>
      </c>
      <c r="AC61" s="14"/>
      <c r="AD61" s="90"/>
      <c r="AF61" s="35"/>
      <c r="AG61" s="14"/>
      <c r="AH61" s="147"/>
      <c r="AI61" s="14"/>
      <c r="AJ61" s="28" t="str">
        <f t="shared" si="114"/>
        <v/>
      </c>
      <c r="AL61" s="90"/>
      <c r="AN61" s="35"/>
      <c r="AO61" s="14"/>
      <c r="AP61" s="147"/>
      <c r="AQ61" s="14"/>
      <c r="AR61" s="28" t="str">
        <f t="shared" si="115"/>
        <v/>
      </c>
      <c r="AT61" s="90"/>
      <c r="AV61" s="35"/>
      <c r="AW61" s="14"/>
      <c r="AX61" s="147"/>
      <c r="AY61" s="14"/>
      <c r="AZ61" s="28" t="str">
        <f t="shared" si="116"/>
        <v/>
      </c>
      <c r="BB61" s="90"/>
      <c r="BD61" s="35"/>
      <c r="BE61" s="14"/>
      <c r="BF61" s="147"/>
      <c r="BG61" s="14"/>
      <c r="BH61" s="28" t="str">
        <f t="shared" si="117"/>
        <v/>
      </c>
      <c r="BJ61" s="90"/>
      <c r="BL61" s="35"/>
      <c r="BM61" s="14"/>
      <c r="BN61" s="147"/>
      <c r="BO61" s="14"/>
      <c r="BP61" s="28" t="str">
        <f t="shared" si="118"/>
        <v/>
      </c>
      <c r="BR61" s="90"/>
      <c r="BT61" s="35"/>
      <c r="BU61" s="14"/>
      <c r="BV61" s="147"/>
      <c r="BW61" s="14"/>
      <c r="BX61" s="28" t="str">
        <f t="shared" si="119"/>
        <v/>
      </c>
      <c r="BZ61" s="90"/>
      <c r="CB61" s="35"/>
      <c r="CC61" s="14"/>
      <c r="CD61" s="147"/>
      <c r="CE61" s="14"/>
      <c r="CF61" s="28" t="str">
        <f t="shared" si="120"/>
        <v/>
      </c>
      <c r="CH61" s="90"/>
      <c r="CJ61" s="35"/>
      <c r="CK61" s="14"/>
      <c r="CL61" s="147"/>
      <c r="CM61" s="14"/>
      <c r="CN61" s="28" t="str">
        <f t="shared" si="121"/>
        <v/>
      </c>
      <c r="CP61" s="90"/>
      <c r="CR61" s="35"/>
      <c r="CS61" s="14"/>
      <c r="CT61" s="147"/>
      <c r="CU61" s="14"/>
      <c r="CV61" s="28" t="str">
        <f t="shared" si="122"/>
        <v/>
      </c>
      <c r="CX61" s="90"/>
    </row>
    <row r="62" spans="2:102" ht="15.6" x14ac:dyDescent="0.3">
      <c r="B62" s="111"/>
      <c r="C62" s="21" t="s">
        <v>25</v>
      </c>
      <c r="D62" s="78" t="e">
        <f t="shared" si="109"/>
        <v>#DIV/0!</v>
      </c>
      <c r="E62" s="130">
        <f t="shared" si="110"/>
        <v>0</v>
      </c>
      <c r="F62" s="73" t="str">
        <f t="shared" si="107"/>
        <v/>
      </c>
      <c r="H62" s="35"/>
      <c r="J62" s="147"/>
      <c r="L62" s="28" t="str">
        <f t="shared" si="111"/>
        <v/>
      </c>
      <c r="N62" s="90" t="str">
        <f t="shared" si="108"/>
        <v/>
      </c>
      <c r="P62" s="35"/>
      <c r="Q62" s="14"/>
      <c r="R62" s="147"/>
      <c r="S62" s="14"/>
      <c r="T62" s="28" t="str">
        <f t="shared" si="112"/>
        <v/>
      </c>
      <c r="V62" s="90"/>
      <c r="X62" s="35"/>
      <c r="Y62" s="14"/>
      <c r="Z62" s="147"/>
      <c r="AA62" s="14"/>
      <c r="AB62" s="28" t="str">
        <f t="shared" si="113"/>
        <v/>
      </c>
      <c r="AC62" s="14"/>
      <c r="AD62" s="90"/>
      <c r="AF62" s="35"/>
      <c r="AG62" s="14"/>
      <c r="AH62" s="147"/>
      <c r="AI62" s="14"/>
      <c r="AJ62" s="28" t="str">
        <f t="shared" si="114"/>
        <v/>
      </c>
      <c r="AL62" s="90"/>
      <c r="AN62" s="35"/>
      <c r="AO62" s="14"/>
      <c r="AP62" s="147"/>
      <c r="AQ62" s="14"/>
      <c r="AR62" s="28" t="str">
        <f t="shared" si="115"/>
        <v/>
      </c>
      <c r="AT62" s="90"/>
      <c r="AV62" s="35"/>
      <c r="AW62" s="14"/>
      <c r="AX62" s="147"/>
      <c r="AY62" s="14"/>
      <c r="AZ62" s="28" t="str">
        <f t="shared" si="116"/>
        <v/>
      </c>
      <c r="BB62" s="90"/>
      <c r="BD62" s="35"/>
      <c r="BE62" s="14"/>
      <c r="BF62" s="147"/>
      <c r="BG62" s="14"/>
      <c r="BH62" s="28" t="str">
        <f t="shared" si="117"/>
        <v/>
      </c>
      <c r="BJ62" s="90"/>
      <c r="BL62" s="35"/>
      <c r="BM62" s="14"/>
      <c r="BN62" s="147"/>
      <c r="BO62" s="14"/>
      <c r="BP62" s="28" t="str">
        <f t="shared" si="118"/>
        <v/>
      </c>
      <c r="BR62" s="90"/>
      <c r="BT62" s="35"/>
      <c r="BU62" s="14"/>
      <c r="BV62" s="147"/>
      <c r="BW62" s="14"/>
      <c r="BX62" s="28" t="str">
        <f t="shared" si="119"/>
        <v/>
      </c>
      <c r="BZ62" s="90"/>
      <c r="CB62" s="35"/>
      <c r="CC62" s="14"/>
      <c r="CD62" s="147"/>
      <c r="CE62" s="14"/>
      <c r="CF62" s="28" t="str">
        <f t="shared" si="120"/>
        <v/>
      </c>
      <c r="CH62" s="90"/>
      <c r="CJ62" s="35"/>
      <c r="CK62" s="14"/>
      <c r="CL62" s="147"/>
      <c r="CM62" s="14"/>
      <c r="CN62" s="28" t="str">
        <f t="shared" si="121"/>
        <v/>
      </c>
      <c r="CP62" s="90"/>
      <c r="CR62" s="35"/>
      <c r="CS62" s="14"/>
      <c r="CT62" s="147"/>
      <c r="CU62" s="14"/>
      <c r="CV62" s="28" t="str">
        <f t="shared" si="122"/>
        <v/>
      </c>
      <c r="CX62" s="90"/>
    </row>
    <row r="63" spans="2:102" ht="15.6" x14ac:dyDescent="0.3">
      <c r="B63" s="111"/>
      <c r="C63" s="21" t="s">
        <v>26</v>
      </c>
      <c r="D63" s="78" t="e">
        <f t="shared" si="109"/>
        <v>#DIV/0!</v>
      </c>
      <c r="E63" s="130">
        <f t="shared" si="110"/>
        <v>0</v>
      </c>
      <c r="F63" s="73" t="str">
        <f t="shared" si="107"/>
        <v/>
      </c>
      <c r="H63" s="35"/>
      <c r="J63" s="147"/>
      <c r="L63" s="28" t="str">
        <f t="shared" si="111"/>
        <v/>
      </c>
      <c r="N63" s="90" t="str">
        <f t="shared" si="108"/>
        <v/>
      </c>
      <c r="P63" s="35"/>
      <c r="Q63" s="14"/>
      <c r="R63" s="147"/>
      <c r="S63" s="14"/>
      <c r="T63" s="28" t="str">
        <f t="shared" si="112"/>
        <v/>
      </c>
      <c r="V63" s="90"/>
      <c r="X63" s="35"/>
      <c r="Y63" s="14"/>
      <c r="Z63" s="147"/>
      <c r="AA63" s="14"/>
      <c r="AB63" s="28" t="str">
        <f t="shared" si="113"/>
        <v/>
      </c>
      <c r="AC63" s="14"/>
      <c r="AD63" s="90"/>
      <c r="AF63" s="35"/>
      <c r="AG63" s="14"/>
      <c r="AH63" s="147"/>
      <c r="AI63" s="14"/>
      <c r="AJ63" s="28" t="str">
        <f t="shared" si="114"/>
        <v/>
      </c>
      <c r="AL63" s="90"/>
      <c r="AN63" s="35"/>
      <c r="AO63" s="14"/>
      <c r="AP63" s="147"/>
      <c r="AQ63" s="14"/>
      <c r="AR63" s="28" t="str">
        <f t="shared" si="115"/>
        <v/>
      </c>
      <c r="AT63" s="90"/>
      <c r="AV63" s="35"/>
      <c r="AW63" s="14"/>
      <c r="AX63" s="147"/>
      <c r="AY63" s="14"/>
      <c r="AZ63" s="28" t="str">
        <f t="shared" si="116"/>
        <v/>
      </c>
      <c r="BB63" s="90"/>
      <c r="BD63" s="35"/>
      <c r="BE63" s="14"/>
      <c r="BF63" s="147"/>
      <c r="BG63" s="14"/>
      <c r="BH63" s="28" t="str">
        <f t="shared" si="117"/>
        <v/>
      </c>
      <c r="BJ63" s="90"/>
      <c r="BL63" s="35"/>
      <c r="BM63" s="14"/>
      <c r="BN63" s="147"/>
      <c r="BO63" s="14"/>
      <c r="BP63" s="28" t="str">
        <f t="shared" si="118"/>
        <v/>
      </c>
      <c r="BR63" s="90"/>
      <c r="BT63" s="35"/>
      <c r="BU63" s="14"/>
      <c r="BV63" s="147"/>
      <c r="BW63" s="14"/>
      <c r="BX63" s="28" t="str">
        <f t="shared" si="119"/>
        <v/>
      </c>
      <c r="BZ63" s="90"/>
      <c r="CB63" s="35"/>
      <c r="CC63" s="14"/>
      <c r="CD63" s="147"/>
      <c r="CE63" s="14"/>
      <c r="CF63" s="28" t="str">
        <f t="shared" si="120"/>
        <v/>
      </c>
      <c r="CH63" s="90"/>
      <c r="CJ63" s="35"/>
      <c r="CK63" s="14"/>
      <c r="CL63" s="147"/>
      <c r="CM63" s="14"/>
      <c r="CN63" s="28" t="str">
        <f t="shared" si="121"/>
        <v/>
      </c>
      <c r="CP63" s="90"/>
      <c r="CR63" s="35"/>
      <c r="CS63" s="14"/>
      <c r="CT63" s="147"/>
      <c r="CU63" s="14"/>
      <c r="CV63" s="28" t="str">
        <f t="shared" si="122"/>
        <v/>
      </c>
      <c r="CX63" s="90"/>
    </row>
    <row r="64" spans="2:102" ht="15.6" x14ac:dyDescent="0.3">
      <c r="B64" s="111"/>
      <c r="C64" s="21" t="s">
        <v>101</v>
      </c>
      <c r="D64" s="78" t="e">
        <f t="shared" si="109"/>
        <v>#DIV/0!</v>
      </c>
      <c r="E64" s="130">
        <f t="shared" si="110"/>
        <v>0</v>
      </c>
      <c r="F64" s="73" t="str">
        <f t="shared" si="107"/>
        <v/>
      </c>
      <c r="H64" s="35"/>
      <c r="J64" s="147"/>
      <c r="L64" s="28" t="str">
        <f t="shared" si="111"/>
        <v/>
      </c>
      <c r="N64" s="90" t="str">
        <f t="shared" si="108"/>
        <v/>
      </c>
      <c r="P64" s="35"/>
      <c r="Q64" s="14"/>
      <c r="R64" s="147"/>
      <c r="S64" s="14"/>
      <c r="T64" s="28" t="str">
        <f t="shared" si="112"/>
        <v/>
      </c>
      <c r="V64" s="90"/>
      <c r="X64" s="35"/>
      <c r="Y64" s="14"/>
      <c r="Z64" s="147"/>
      <c r="AA64" s="14"/>
      <c r="AB64" s="28" t="str">
        <f t="shared" si="113"/>
        <v/>
      </c>
      <c r="AC64" s="14"/>
      <c r="AD64" s="90"/>
      <c r="AF64" s="35"/>
      <c r="AG64" s="14"/>
      <c r="AH64" s="147"/>
      <c r="AI64" s="14"/>
      <c r="AJ64" s="28" t="str">
        <f t="shared" si="114"/>
        <v/>
      </c>
      <c r="AL64" s="90"/>
      <c r="AN64" s="35"/>
      <c r="AO64" s="14"/>
      <c r="AP64" s="147"/>
      <c r="AQ64" s="14"/>
      <c r="AR64" s="28" t="str">
        <f t="shared" si="115"/>
        <v/>
      </c>
      <c r="AT64" s="90"/>
      <c r="AV64" s="35"/>
      <c r="AW64" s="14"/>
      <c r="AX64" s="147"/>
      <c r="AY64" s="14"/>
      <c r="AZ64" s="28" t="str">
        <f t="shared" si="116"/>
        <v/>
      </c>
      <c r="BB64" s="90"/>
      <c r="BD64" s="35"/>
      <c r="BE64" s="14"/>
      <c r="BF64" s="147"/>
      <c r="BG64" s="14"/>
      <c r="BH64" s="28" t="str">
        <f t="shared" si="117"/>
        <v/>
      </c>
      <c r="BJ64" s="90"/>
      <c r="BL64" s="35"/>
      <c r="BM64" s="14"/>
      <c r="BN64" s="147"/>
      <c r="BO64" s="14"/>
      <c r="BP64" s="28" t="str">
        <f t="shared" si="118"/>
        <v/>
      </c>
      <c r="BR64" s="90"/>
      <c r="BT64" s="35"/>
      <c r="BU64" s="14"/>
      <c r="BV64" s="147"/>
      <c r="BW64" s="14"/>
      <c r="BX64" s="28" t="str">
        <f t="shared" si="119"/>
        <v/>
      </c>
      <c r="BZ64" s="90"/>
      <c r="CB64" s="35"/>
      <c r="CC64" s="14"/>
      <c r="CD64" s="147"/>
      <c r="CE64" s="14"/>
      <c r="CF64" s="28" t="str">
        <f t="shared" si="120"/>
        <v/>
      </c>
      <c r="CH64" s="90"/>
      <c r="CJ64" s="35"/>
      <c r="CK64" s="14"/>
      <c r="CL64" s="147"/>
      <c r="CM64" s="14"/>
      <c r="CN64" s="28" t="str">
        <f t="shared" si="121"/>
        <v/>
      </c>
      <c r="CP64" s="90"/>
      <c r="CR64" s="35"/>
      <c r="CS64" s="14"/>
      <c r="CT64" s="147"/>
      <c r="CU64" s="14"/>
      <c r="CV64" s="28" t="str">
        <f t="shared" si="122"/>
        <v/>
      </c>
      <c r="CX64" s="90"/>
    </row>
    <row r="65" spans="2:102" ht="15.6" x14ac:dyDescent="0.3">
      <c r="B65" s="111"/>
      <c r="C65" s="21" t="s">
        <v>100</v>
      </c>
      <c r="D65" s="78" t="e">
        <f t="shared" si="109"/>
        <v>#DIV/0!</v>
      </c>
      <c r="E65" s="130">
        <f t="shared" si="110"/>
        <v>0</v>
      </c>
      <c r="F65" s="73" t="str">
        <f t="shared" si="107"/>
        <v/>
      </c>
      <c r="H65" s="35"/>
      <c r="J65" s="147"/>
      <c r="L65" s="28" t="str">
        <f t="shared" si="111"/>
        <v/>
      </c>
      <c r="N65" s="90" t="str">
        <f t="shared" si="108"/>
        <v/>
      </c>
      <c r="P65" s="35"/>
      <c r="Q65" s="14"/>
      <c r="R65" s="147"/>
      <c r="S65" s="14"/>
      <c r="T65" s="28" t="str">
        <f t="shared" si="112"/>
        <v/>
      </c>
      <c r="V65" s="90"/>
      <c r="X65" s="35"/>
      <c r="Y65" s="14"/>
      <c r="Z65" s="147"/>
      <c r="AA65" s="14"/>
      <c r="AB65" s="28" t="str">
        <f t="shared" si="113"/>
        <v/>
      </c>
      <c r="AC65" s="14"/>
      <c r="AD65" s="90"/>
      <c r="AF65" s="35"/>
      <c r="AG65" s="14"/>
      <c r="AH65" s="147"/>
      <c r="AI65" s="14"/>
      <c r="AJ65" s="28" t="str">
        <f t="shared" si="114"/>
        <v/>
      </c>
      <c r="AL65" s="90"/>
      <c r="AN65" s="35"/>
      <c r="AO65" s="14"/>
      <c r="AP65" s="147"/>
      <c r="AQ65" s="14"/>
      <c r="AR65" s="28" t="str">
        <f t="shared" si="115"/>
        <v/>
      </c>
      <c r="AT65" s="90"/>
      <c r="AV65" s="35"/>
      <c r="AW65" s="14"/>
      <c r="AX65" s="147"/>
      <c r="AY65" s="14"/>
      <c r="AZ65" s="28" t="str">
        <f t="shared" si="116"/>
        <v/>
      </c>
      <c r="BB65" s="90"/>
      <c r="BD65" s="35"/>
      <c r="BE65" s="14"/>
      <c r="BF65" s="147"/>
      <c r="BG65" s="14"/>
      <c r="BH65" s="28" t="str">
        <f t="shared" si="117"/>
        <v/>
      </c>
      <c r="BJ65" s="90"/>
      <c r="BL65" s="35"/>
      <c r="BM65" s="14"/>
      <c r="BN65" s="147"/>
      <c r="BO65" s="14"/>
      <c r="BP65" s="28" t="str">
        <f t="shared" si="118"/>
        <v/>
      </c>
      <c r="BR65" s="90"/>
      <c r="BT65" s="35"/>
      <c r="BU65" s="14"/>
      <c r="BV65" s="147"/>
      <c r="BW65" s="14"/>
      <c r="BX65" s="28" t="str">
        <f t="shared" si="119"/>
        <v/>
      </c>
      <c r="BZ65" s="90"/>
      <c r="CB65" s="35"/>
      <c r="CC65" s="14"/>
      <c r="CD65" s="147"/>
      <c r="CE65" s="14"/>
      <c r="CF65" s="28" t="str">
        <f t="shared" si="120"/>
        <v/>
      </c>
      <c r="CH65" s="90"/>
      <c r="CJ65" s="35"/>
      <c r="CK65" s="14"/>
      <c r="CL65" s="147"/>
      <c r="CM65" s="14"/>
      <c r="CN65" s="28" t="str">
        <f t="shared" si="121"/>
        <v/>
      </c>
      <c r="CP65" s="90"/>
      <c r="CR65" s="35"/>
      <c r="CS65" s="14"/>
      <c r="CT65" s="147"/>
      <c r="CU65" s="14"/>
      <c r="CV65" s="28" t="str">
        <f t="shared" si="122"/>
        <v/>
      </c>
      <c r="CX65" s="90"/>
    </row>
    <row r="66" spans="2:102" ht="15.6" x14ac:dyDescent="0.3">
      <c r="B66" s="111"/>
      <c r="C66" s="21" t="s">
        <v>37</v>
      </c>
      <c r="D66" s="78" t="e">
        <f t="shared" si="109"/>
        <v>#DIV/0!</v>
      </c>
      <c r="E66" s="130">
        <f t="shared" si="110"/>
        <v>0</v>
      </c>
      <c r="F66" s="73" t="str">
        <f t="shared" si="107"/>
        <v/>
      </c>
      <c r="H66" s="35"/>
      <c r="J66" s="147"/>
      <c r="L66" s="28" t="str">
        <f t="shared" si="111"/>
        <v/>
      </c>
      <c r="N66" s="90" t="str">
        <f t="shared" si="108"/>
        <v/>
      </c>
      <c r="P66" s="35"/>
      <c r="Q66" s="14"/>
      <c r="R66" s="147"/>
      <c r="S66" s="14"/>
      <c r="T66" s="28" t="str">
        <f t="shared" si="112"/>
        <v/>
      </c>
      <c r="V66" s="90"/>
      <c r="X66" s="35"/>
      <c r="Y66" s="14"/>
      <c r="Z66" s="147"/>
      <c r="AA66" s="14"/>
      <c r="AB66" s="28" t="str">
        <f t="shared" si="113"/>
        <v/>
      </c>
      <c r="AC66" s="14"/>
      <c r="AD66" s="90"/>
      <c r="AF66" s="35"/>
      <c r="AG66" s="14"/>
      <c r="AH66" s="147"/>
      <c r="AI66" s="14"/>
      <c r="AJ66" s="28" t="str">
        <f t="shared" si="114"/>
        <v/>
      </c>
      <c r="AL66" s="90"/>
      <c r="AN66" s="35"/>
      <c r="AO66" s="14"/>
      <c r="AP66" s="147"/>
      <c r="AQ66" s="14"/>
      <c r="AR66" s="28" t="str">
        <f t="shared" si="115"/>
        <v/>
      </c>
      <c r="AT66" s="90"/>
      <c r="AV66" s="35"/>
      <c r="AW66" s="14"/>
      <c r="AX66" s="147"/>
      <c r="AY66" s="14"/>
      <c r="AZ66" s="28" t="str">
        <f t="shared" si="116"/>
        <v/>
      </c>
      <c r="BB66" s="90"/>
      <c r="BD66" s="35"/>
      <c r="BE66" s="14"/>
      <c r="BF66" s="147"/>
      <c r="BG66" s="14"/>
      <c r="BH66" s="28" t="str">
        <f t="shared" si="117"/>
        <v/>
      </c>
      <c r="BJ66" s="90"/>
      <c r="BL66" s="35"/>
      <c r="BM66" s="14"/>
      <c r="BN66" s="147"/>
      <c r="BO66" s="14"/>
      <c r="BP66" s="28" t="str">
        <f t="shared" si="118"/>
        <v/>
      </c>
      <c r="BR66" s="90"/>
      <c r="BT66" s="35"/>
      <c r="BU66" s="14"/>
      <c r="BV66" s="147"/>
      <c r="BW66" s="14"/>
      <c r="BX66" s="28" t="str">
        <f t="shared" si="119"/>
        <v/>
      </c>
      <c r="BZ66" s="90"/>
      <c r="CB66" s="35"/>
      <c r="CC66" s="14"/>
      <c r="CD66" s="147"/>
      <c r="CE66" s="14"/>
      <c r="CF66" s="28" t="str">
        <f t="shared" si="120"/>
        <v/>
      </c>
      <c r="CH66" s="90"/>
      <c r="CJ66" s="35"/>
      <c r="CK66" s="14"/>
      <c r="CL66" s="147"/>
      <c r="CM66" s="14"/>
      <c r="CN66" s="28" t="str">
        <f t="shared" si="121"/>
        <v/>
      </c>
      <c r="CP66" s="90"/>
      <c r="CR66" s="35"/>
      <c r="CS66" s="14"/>
      <c r="CT66" s="147"/>
      <c r="CU66" s="14"/>
      <c r="CV66" s="28" t="str">
        <f t="shared" si="122"/>
        <v/>
      </c>
      <c r="CX66" s="90"/>
    </row>
    <row r="67" spans="2:102" ht="15.6" x14ac:dyDescent="0.3">
      <c r="B67" s="111"/>
      <c r="C67" s="21" t="s">
        <v>27</v>
      </c>
      <c r="D67" s="78" t="e">
        <f t="shared" si="109"/>
        <v>#DIV/0!</v>
      </c>
      <c r="E67" s="130">
        <f t="shared" si="110"/>
        <v>0</v>
      </c>
      <c r="F67" s="73" t="str">
        <f t="shared" si="107"/>
        <v/>
      </c>
      <c r="H67" s="35"/>
      <c r="J67" s="147"/>
      <c r="L67" s="28" t="str">
        <f t="shared" si="111"/>
        <v/>
      </c>
      <c r="N67" s="90" t="str">
        <f t="shared" si="108"/>
        <v/>
      </c>
      <c r="P67" s="35"/>
      <c r="Q67" s="14"/>
      <c r="R67" s="147"/>
      <c r="S67" s="14"/>
      <c r="T67" s="28" t="str">
        <f t="shared" si="112"/>
        <v/>
      </c>
      <c r="V67" s="90"/>
      <c r="X67" s="35"/>
      <c r="Y67" s="14"/>
      <c r="Z67" s="147"/>
      <c r="AA67" s="14"/>
      <c r="AB67" s="28" t="str">
        <f t="shared" si="113"/>
        <v/>
      </c>
      <c r="AC67" s="14"/>
      <c r="AD67" s="90"/>
      <c r="AF67" s="35"/>
      <c r="AG67" s="14"/>
      <c r="AH67" s="147"/>
      <c r="AI67" s="14"/>
      <c r="AJ67" s="28" t="str">
        <f t="shared" si="114"/>
        <v/>
      </c>
      <c r="AL67" s="90"/>
      <c r="AN67" s="35"/>
      <c r="AO67" s="14"/>
      <c r="AP67" s="147"/>
      <c r="AQ67" s="14"/>
      <c r="AR67" s="28" t="str">
        <f t="shared" si="115"/>
        <v/>
      </c>
      <c r="AT67" s="90"/>
      <c r="AV67" s="35"/>
      <c r="AW67" s="14"/>
      <c r="AX67" s="147"/>
      <c r="AY67" s="14"/>
      <c r="AZ67" s="28" t="str">
        <f t="shared" si="116"/>
        <v/>
      </c>
      <c r="BB67" s="90"/>
      <c r="BD67" s="35"/>
      <c r="BE67" s="14"/>
      <c r="BF67" s="147"/>
      <c r="BG67" s="14"/>
      <c r="BH67" s="28" t="str">
        <f t="shared" si="117"/>
        <v/>
      </c>
      <c r="BJ67" s="90"/>
      <c r="BL67" s="35"/>
      <c r="BM67" s="14"/>
      <c r="BN67" s="147"/>
      <c r="BO67" s="14"/>
      <c r="BP67" s="28" t="str">
        <f t="shared" si="118"/>
        <v/>
      </c>
      <c r="BR67" s="90"/>
      <c r="BT67" s="35"/>
      <c r="BU67" s="14"/>
      <c r="BV67" s="147"/>
      <c r="BW67" s="14"/>
      <c r="BX67" s="28" t="str">
        <f t="shared" si="119"/>
        <v/>
      </c>
      <c r="BZ67" s="90"/>
      <c r="CB67" s="35"/>
      <c r="CC67" s="14"/>
      <c r="CD67" s="147"/>
      <c r="CE67" s="14"/>
      <c r="CF67" s="28" t="str">
        <f t="shared" si="120"/>
        <v/>
      </c>
      <c r="CH67" s="90"/>
      <c r="CJ67" s="35"/>
      <c r="CK67" s="14"/>
      <c r="CL67" s="147"/>
      <c r="CM67" s="14"/>
      <c r="CN67" s="28" t="str">
        <f t="shared" si="121"/>
        <v/>
      </c>
      <c r="CP67" s="90"/>
      <c r="CR67" s="35"/>
      <c r="CS67" s="14"/>
      <c r="CT67" s="147"/>
      <c r="CU67" s="14"/>
      <c r="CV67" s="28" t="str">
        <f t="shared" si="122"/>
        <v/>
      </c>
      <c r="CX67" s="90"/>
    </row>
    <row r="68" spans="2:102" ht="15.6" x14ac:dyDescent="0.3">
      <c r="B68" s="111"/>
      <c r="C68" s="21" t="s">
        <v>38</v>
      </c>
      <c r="D68" s="78" t="e">
        <f t="shared" si="109"/>
        <v>#DIV/0!</v>
      </c>
      <c r="E68" s="130">
        <f t="shared" si="110"/>
        <v>0</v>
      </c>
      <c r="F68" s="73" t="str">
        <f t="shared" si="107"/>
        <v/>
      </c>
      <c r="H68" s="35"/>
      <c r="J68" s="147"/>
      <c r="L68" s="28" t="str">
        <f t="shared" si="111"/>
        <v/>
      </c>
      <c r="N68" s="90" t="str">
        <f t="shared" si="108"/>
        <v/>
      </c>
      <c r="P68" s="35"/>
      <c r="Q68" s="14"/>
      <c r="R68" s="147"/>
      <c r="S68" s="14"/>
      <c r="T68" s="28" t="str">
        <f t="shared" si="112"/>
        <v/>
      </c>
      <c r="V68" s="90"/>
      <c r="X68" s="35"/>
      <c r="Y68" s="14"/>
      <c r="Z68" s="147"/>
      <c r="AA68" s="14"/>
      <c r="AB68" s="28" t="str">
        <f t="shared" si="113"/>
        <v/>
      </c>
      <c r="AC68" s="14"/>
      <c r="AD68" s="90"/>
      <c r="AF68" s="35"/>
      <c r="AG68" s="14"/>
      <c r="AH68" s="147"/>
      <c r="AI68" s="14"/>
      <c r="AJ68" s="28" t="str">
        <f t="shared" si="114"/>
        <v/>
      </c>
      <c r="AL68" s="90"/>
      <c r="AN68" s="35"/>
      <c r="AO68" s="14"/>
      <c r="AP68" s="147"/>
      <c r="AQ68" s="14"/>
      <c r="AR68" s="28" t="str">
        <f t="shared" si="115"/>
        <v/>
      </c>
      <c r="AT68" s="90"/>
      <c r="AV68" s="35"/>
      <c r="AW68" s="14"/>
      <c r="AX68" s="147"/>
      <c r="AY68" s="14"/>
      <c r="AZ68" s="28" t="str">
        <f t="shared" si="116"/>
        <v/>
      </c>
      <c r="BB68" s="90"/>
      <c r="BD68" s="35"/>
      <c r="BE68" s="14"/>
      <c r="BF68" s="147"/>
      <c r="BG68" s="14"/>
      <c r="BH68" s="28" t="str">
        <f t="shared" si="117"/>
        <v/>
      </c>
      <c r="BJ68" s="90"/>
      <c r="BL68" s="35"/>
      <c r="BM68" s="14"/>
      <c r="BN68" s="147"/>
      <c r="BO68" s="14"/>
      <c r="BP68" s="28" t="str">
        <f t="shared" si="118"/>
        <v/>
      </c>
      <c r="BR68" s="90"/>
      <c r="BT68" s="35"/>
      <c r="BU68" s="14"/>
      <c r="BV68" s="147"/>
      <c r="BW68" s="14"/>
      <c r="BX68" s="28" t="str">
        <f t="shared" si="119"/>
        <v/>
      </c>
      <c r="BZ68" s="90"/>
      <c r="CB68" s="35"/>
      <c r="CC68" s="14"/>
      <c r="CD68" s="147"/>
      <c r="CE68" s="14"/>
      <c r="CF68" s="28" t="str">
        <f t="shared" si="120"/>
        <v/>
      </c>
      <c r="CH68" s="90"/>
      <c r="CJ68" s="35"/>
      <c r="CK68" s="14"/>
      <c r="CL68" s="147"/>
      <c r="CM68" s="14"/>
      <c r="CN68" s="28" t="str">
        <f t="shared" si="121"/>
        <v/>
      </c>
      <c r="CP68" s="90"/>
      <c r="CR68" s="35"/>
      <c r="CS68" s="14"/>
      <c r="CT68" s="147"/>
      <c r="CU68" s="14"/>
      <c r="CV68" s="28" t="str">
        <f t="shared" si="122"/>
        <v/>
      </c>
      <c r="CX68" s="90"/>
    </row>
    <row r="69" spans="2:102" ht="15.6" x14ac:dyDescent="0.3">
      <c r="B69" s="111"/>
      <c r="C69" s="21" t="s">
        <v>114</v>
      </c>
      <c r="D69" s="78" t="e">
        <f t="shared" si="109"/>
        <v>#DIV/0!</v>
      </c>
      <c r="E69" s="130">
        <f t="shared" si="110"/>
        <v>0</v>
      </c>
      <c r="F69" s="73" t="str">
        <f t="shared" si="107"/>
        <v/>
      </c>
      <c r="H69" s="35"/>
      <c r="J69" s="147"/>
      <c r="L69" s="28" t="str">
        <f t="shared" si="111"/>
        <v/>
      </c>
      <c r="N69" s="90" t="str">
        <f t="shared" si="108"/>
        <v/>
      </c>
      <c r="P69" s="35"/>
      <c r="Q69" s="14"/>
      <c r="R69" s="147"/>
      <c r="S69" s="14"/>
      <c r="T69" s="28" t="str">
        <f t="shared" si="112"/>
        <v/>
      </c>
      <c r="V69" s="90"/>
      <c r="X69" s="35"/>
      <c r="Y69" s="14"/>
      <c r="Z69" s="147"/>
      <c r="AA69" s="14"/>
      <c r="AB69" s="28" t="str">
        <f t="shared" si="113"/>
        <v/>
      </c>
      <c r="AC69" s="14"/>
      <c r="AD69" s="90"/>
      <c r="AF69" s="35"/>
      <c r="AG69" s="14"/>
      <c r="AH69" s="147"/>
      <c r="AI69" s="14"/>
      <c r="AJ69" s="28" t="str">
        <f t="shared" si="114"/>
        <v/>
      </c>
      <c r="AL69" s="90"/>
      <c r="AN69" s="35"/>
      <c r="AO69" s="14"/>
      <c r="AP69" s="147"/>
      <c r="AQ69" s="14"/>
      <c r="AR69" s="28" t="str">
        <f t="shared" si="115"/>
        <v/>
      </c>
      <c r="AT69" s="90"/>
      <c r="AV69" s="35"/>
      <c r="AW69" s="14"/>
      <c r="AX69" s="147"/>
      <c r="AY69" s="14"/>
      <c r="AZ69" s="28" t="str">
        <f t="shared" si="116"/>
        <v/>
      </c>
      <c r="BB69" s="90"/>
      <c r="BD69" s="35"/>
      <c r="BE69" s="14"/>
      <c r="BF69" s="147"/>
      <c r="BG69" s="14"/>
      <c r="BH69" s="28" t="str">
        <f t="shared" si="117"/>
        <v/>
      </c>
      <c r="BJ69" s="90"/>
      <c r="BL69" s="35"/>
      <c r="BM69" s="14"/>
      <c r="BN69" s="147"/>
      <c r="BO69" s="14"/>
      <c r="BP69" s="28" t="str">
        <f t="shared" si="118"/>
        <v/>
      </c>
      <c r="BR69" s="90"/>
      <c r="BT69" s="35"/>
      <c r="BU69" s="14"/>
      <c r="BV69" s="147"/>
      <c r="BW69" s="14"/>
      <c r="BX69" s="28" t="str">
        <f t="shared" si="119"/>
        <v/>
      </c>
      <c r="BZ69" s="90"/>
      <c r="CB69" s="35"/>
      <c r="CC69" s="14"/>
      <c r="CD69" s="147"/>
      <c r="CE69" s="14"/>
      <c r="CF69" s="28" t="str">
        <f t="shared" si="120"/>
        <v/>
      </c>
      <c r="CH69" s="90"/>
      <c r="CJ69" s="35"/>
      <c r="CK69" s="14"/>
      <c r="CL69" s="147"/>
      <c r="CM69" s="14"/>
      <c r="CN69" s="28" t="str">
        <f t="shared" si="121"/>
        <v/>
      </c>
      <c r="CP69" s="90"/>
      <c r="CR69" s="35"/>
      <c r="CS69" s="14"/>
      <c r="CT69" s="147"/>
      <c r="CU69" s="14"/>
      <c r="CV69" s="28" t="str">
        <f t="shared" si="122"/>
        <v/>
      </c>
      <c r="CX69" s="90"/>
    </row>
    <row r="70" spans="2:102" ht="15.6" x14ac:dyDescent="0.3">
      <c r="B70" s="111"/>
      <c r="C70" s="21" t="s">
        <v>104</v>
      </c>
      <c r="D70" s="78" t="e">
        <f t="shared" si="109"/>
        <v>#DIV/0!</v>
      </c>
      <c r="E70" s="130">
        <f t="shared" si="110"/>
        <v>0</v>
      </c>
      <c r="F70" s="73" t="str">
        <f t="shared" si="107"/>
        <v/>
      </c>
      <c r="H70" s="35"/>
      <c r="J70" s="147"/>
      <c r="L70" s="28" t="str">
        <f t="shared" si="111"/>
        <v/>
      </c>
      <c r="N70" s="90" t="str">
        <f t="shared" si="108"/>
        <v/>
      </c>
      <c r="P70" s="35"/>
      <c r="Q70" s="14"/>
      <c r="R70" s="147"/>
      <c r="S70" s="14"/>
      <c r="T70" s="28" t="str">
        <f t="shared" si="112"/>
        <v/>
      </c>
      <c r="V70" s="90"/>
      <c r="X70" s="35"/>
      <c r="Y70" s="14"/>
      <c r="Z70" s="147"/>
      <c r="AA70" s="14"/>
      <c r="AB70" s="28" t="str">
        <f t="shared" si="113"/>
        <v/>
      </c>
      <c r="AC70" s="14"/>
      <c r="AD70" s="90"/>
      <c r="AF70" s="35"/>
      <c r="AG70" s="14"/>
      <c r="AH70" s="147"/>
      <c r="AI70" s="14"/>
      <c r="AJ70" s="28" t="str">
        <f t="shared" si="114"/>
        <v/>
      </c>
      <c r="AL70" s="90"/>
      <c r="AN70" s="35"/>
      <c r="AO70" s="14"/>
      <c r="AP70" s="147"/>
      <c r="AQ70" s="14"/>
      <c r="AR70" s="28" t="str">
        <f t="shared" si="115"/>
        <v/>
      </c>
      <c r="AT70" s="90"/>
      <c r="AV70" s="35"/>
      <c r="AW70" s="14"/>
      <c r="AX70" s="147"/>
      <c r="AY70" s="14"/>
      <c r="AZ70" s="28" t="str">
        <f t="shared" si="116"/>
        <v/>
      </c>
      <c r="BB70" s="90"/>
      <c r="BD70" s="35"/>
      <c r="BE70" s="14"/>
      <c r="BF70" s="147"/>
      <c r="BG70" s="14"/>
      <c r="BH70" s="28" t="str">
        <f t="shared" si="117"/>
        <v/>
      </c>
      <c r="BJ70" s="90"/>
      <c r="BL70" s="35"/>
      <c r="BM70" s="14"/>
      <c r="BN70" s="147"/>
      <c r="BO70" s="14"/>
      <c r="BP70" s="28" t="str">
        <f t="shared" si="118"/>
        <v/>
      </c>
      <c r="BR70" s="90"/>
      <c r="BT70" s="35"/>
      <c r="BU70" s="14"/>
      <c r="BV70" s="147"/>
      <c r="BW70" s="14"/>
      <c r="BX70" s="28" t="str">
        <f t="shared" si="119"/>
        <v/>
      </c>
      <c r="BZ70" s="90"/>
      <c r="CB70" s="35"/>
      <c r="CC70" s="14"/>
      <c r="CD70" s="147"/>
      <c r="CE70" s="14"/>
      <c r="CF70" s="28" t="str">
        <f t="shared" si="120"/>
        <v/>
      </c>
      <c r="CH70" s="90"/>
      <c r="CJ70" s="35"/>
      <c r="CK70" s="14"/>
      <c r="CL70" s="147"/>
      <c r="CM70" s="14"/>
      <c r="CN70" s="28" t="str">
        <f t="shared" si="121"/>
        <v/>
      </c>
      <c r="CP70" s="90"/>
      <c r="CR70" s="35"/>
      <c r="CS70" s="14"/>
      <c r="CT70" s="147"/>
      <c r="CU70" s="14"/>
      <c r="CV70" s="28" t="str">
        <f t="shared" si="122"/>
        <v/>
      </c>
      <c r="CX70" s="90"/>
    </row>
    <row r="71" spans="2:102" ht="15.6" x14ac:dyDescent="0.3">
      <c r="B71" s="111"/>
      <c r="C71" s="120" t="s">
        <v>144</v>
      </c>
      <c r="D71" s="78" t="e">
        <f t="shared" si="109"/>
        <v>#DIV/0!</v>
      </c>
      <c r="E71" s="130">
        <f t="shared" si="110"/>
        <v>0</v>
      </c>
      <c r="F71" s="73" t="str">
        <f t="shared" si="107"/>
        <v/>
      </c>
      <c r="H71" s="35"/>
      <c r="J71" s="147"/>
      <c r="L71" s="28" t="str">
        <f t="shared" si="111"/>
        <v/>
      </c>
      <c r="N71" s="90" t="str">
        <f t="shared" si="108"/>
        <v/>
      </c>
      <c r="P71" s="35"/>
      <c r="Q71" s="14"/>
      <c r="R71" s="147"/>
      <c r="S71" s="14"/>
      <c r="T71" s="28" t="str">
        <f t="shared" si="112"/>
        <v/>
      </c>
      <c r="V71" s="90"/>
      <c r="X71" s="35"/>
      <c r="Y71" s="14"/>
      <c r="Z71" s="147"/>
      <c r="AA71" s="14"/>
      <c r="AB71" s="28" t="str">
        <f t="shared" si="113"/>
        <v/>
      </c>
      <c r="AC71" s="14"/>
      <c r="AD71" s="90"/>
      <c r="AF71" s="35"/>
      <c r="AG71" s="14"/>
      <c r="AH71" s="147"/>
      <c r="AI71" s="14"/>
      <c r="AJ71" s="28" t="str">
        <f t="shared" si="114"/>
        <v/>
      </c>
      <c r="AL71" s="90"/>
      <c r="AN71" s="35"/>
      <c r="AO71" s="14"/>
      <c r="AP71" s="147"/>
      <c r="AQ71" s="14"/>
      <c r="AR71" s="28" t="str">
        <f t="shared" si="115"/>
        <v/>
      </c>
      <c r="AT71" s="90"/>
      <c r="AV71" s="35"/>
      <c r="AW71" s="14"/>
      <c r="AX71" s="147"/>
      <c r="AY71" s="14"/>
      <c r="AZ71" s="28" t="str">
        <f t="shared" si="116"/>
        <v/>
      </c>
      <c r="BB71" s="90"/>
      <c r="BD71" s="35"/>
      <c r="BE71" s="14"/>
      <c r="BF71" s="147"/>
      <c r="BG71" s="14"/>
      <c r="BH71" s="28" t="str">
        <f t="shared" si="117"/>
        <v/>
      </c>
      <c r="BJ71" s="90"/>
      <c r="BL71" s="35"/>
      <c r="BM71" s="14"/>
      <c r="BN71" s="147"/>
      <c r="BO71" s="14"/>
      <c r="BP71" s="28" t="str">
        <f t="shared" si="118"/>
        <v/>
      </c>
      <c r="BR71" s="90"/>
      <c r="BT71" s="35"/>
      <c r="BU71" s="14"/>
      <c r="BV71" s="147"/>
      <c r="BW71" s="14"/>
      <c r="BX71" s="28" t="str">
        <f t="shared" si="119"/>
        <v/>
      </c>
      <c r="BZ71" s="90"/>
      <c r="CB71" s="35"/>
      <c r="CC71" s="14"/>
      <c r="CD71" s="147"/>
      <c r="CE71" s="14"/>
      <c r="CF71" s="28" t="str">
        <f t="shared" si="120"/>
        <v/>
      </c>
      <c r="CH71" s="90"/>
      <c r="CJ71" s="35"/>
      <c r="CK71" s="14"/>
      <c r="CL71" s="147"/>
      <c r="CM71" s="14"/>
      <c r="CN71" s="28" t="str">
        <f t="shared" si="121"/>
        <v/>
      </c>
      <c r="CP71" s="90"/>
      <c r="CR71" s="35"/>
      <c r="CS71" s="14"/>
      <c r="CT71" s="147"/>
      <c r="CU71" s="14"/>
      <c r="CV71" s="28" t="str">
        <f t="shared" si="122"/>
        <v/>
      </c>
      <c r="CX71" s="90"/>
    </row>
    <row r="72" spans="2:102" ht="15.6" x14ac:dyDescent="0.3">
      <c r="B72" s="111"/>
      <c r="C72" s="120"/>
      <c r="D72" s="78"/>
      <c r="E72" s="130"/>
      <c r="F72" s="73"/>
      <c r="H72" s="35"/>
      <c r="J72" s="147"/>
      <c r="L72" s="28"/>
      <c r="N72" s="90"/>
      <c r="P72" s="35"/>
      <c r="Q72" s="14"/>
      <c r="R72" s="147"/>
      <c r="S72" s="14"/>
      <c r="T72" s="28"/>
      <c r="V72" s="90"/>
      <c r="X72" s="35"/>
      <c r="Y72" s="14"/>
      <c r="Z72" s="147"/>
      <c r="AA72" s="14"/>
      <c r="AB72" s="28"/>
      <c r="AC72" s="14"/>
      <c r="AD72" s="90"/>
      <c r="AF72" s="35"/>
      <c r="AG72" s="14"/>
      <c r="AH72" s="147"/>
      <c r="AI72" s="14"/>
      <c r="AJ72" s="28"/>
      <c r="AL72" s="90"/>
      <c r="AN72" s="35"/>
      <c r="AO72" s="14"/>
      <c r="AP72" s="147"/>
      <c r="AQ72" s="14"/>
      <c r="AR72" s="28"/>
      <c r="AT72" s="90"/>
      <c r="AV72" s="35"/>
      <c r="AW72" s="14"/>
      <c r="AX72" s="147"/>
      <c r="AY72" s="14"/>
      <c r="AZ72" s="28"/>
      <c r="BB72" s="90"/>
      <c r="BD72" s="35"/>
      <c r="BE72" s="14"/>
      <c r="BF72" s="147"/>
      <c r="BG72" s="14"/>
      <c r="BH72" s="28"/>
      <c r="BJ72" s="90"/>
      <c r="BL72" s="35"/>
      <c r="BM72" s="14"/>
      <c r="BN72" s="147"/>
      <c r="BO72" s="14"/>
      <c r="BP72" s="28"/>
      <c r="BR72" s="90"/>
      <c r="BT72" s="35"/>
      <c r="BU72" s="14"/>
      <c r="BV72" s="147"/>
      <c r="BW72" s="14"/>
      <c r="BX72" s="28"/>
      <c r="BZ72" s="90"/>
      <c r="CB72" s="35"/>
      <c r="CC72" s="14"/>
      <c r="CD72" s="147"/>
      <c r="CE72" s="14"/>
      <c r="CF72" s="28"/>
      <c r="CH72" s="90"/>
      <c r="CJ72" s="35"/>
      <c r="CK72" s="14"/>
      <c r="CL72" s="147"/>
      <c r="CM72" s="14"/>
      <c r="CN72" s="28"/>
      <c r="CP72" s="90"/>
      <c r="CR72" s="35"/>
      <c r="CS72" s="14"/>
      <c r="CT72" s="147"/>
      <c r="CU72" s="14"/>
      <c r="CV72" s="28"/>
      <c r="CX72" s="90"/>
    </row>
    <row r="73" spans="2:102" ht="16.2" thickBot="1" x14ac:dyDescent="0.35">
      <c r="B73" s="113"/>
      <c r="C73" s="114"/>
      <c r="D73" s="115"/>
      <c r="E73" s="133"/>
      <c r="F73" s="74"/>
      <c r="H73" s="35"/>
      <c r="J73" s="147"/>
      <c r="L73" s="28"/>
      <c r="N73" s="90"/>
      <c r="P73" s="35"/>
      <c r="Q73" s="14"/>
      <c r="R73" s="147"/>
      <c r="S73" s="14"/>
      <c r="T73" s="28"/>
      <c r="V73" s="90"/>
      <c r="X73" s="35"/>
      <c r="Y73" s="14"/>
      <c r="Z73" s="147"/>
      <c r="AA73" s="14"/>
      <c r="AB73" s="28"/>
      <c r="AC73" s="14"/>
      <c r="AD73" s="90"/>
      <c r="AF73" s="35"/>
      <c r="AG73" s="14"/>
      <c r="AH73" s="147"/>
      <c r="AI73" s="14"/>
      <c r="AJ73" s="28"/>
      <c r="AL73" s="90"/>
      <c r="AN73" s="35"/>
      <c r="AO73" s="14"/>
      <c r="AP73" s="147"/>
      <c r="AQ73" s="14"/>
      <c r="AR73" s="28"/>
      <c r="AT73" s="90"/>
      <c r="AV73" s="35"/>
      <c r="AW73" s="14"/>
      <c r="AX73" s="147"/>
      <c r="AY73" s="14"/>
      <c r="AZ73" s="28"/>
      <c r="BB73" s="90"/>
      <c r="BD73" s="35"/>
      <c r="BE73" s="14"/>
      <c r="BF73" s="147"/>
      <c r="BG73" s="14"/>
      <c r="BH73" s="28"/>
      <c r="BJ73" s="90"/>
      <c r="BL73" s="35"/>
      <c r="BM73" s="14"/>
      <c r="BN73" s="147"/>
      <c r="BO73" s="14"/>
      <c r="BP73" s="28"/>
      <c r="BR73" s="90"/>
      <c r="BT73" s="35"/>
      <c r="BU73" s="14"/>
      <c r="BV73" s="147"/>
      <c r="BW73" s="14"/>
      <c r="BX73" s="28"/>
      <c r="BZ73" s="90"/>
      <c r="CB73" s="35"/>
      <c r="CC73" s="14"/>
      <c r="CD73" s="147"/>
      <c r="CE73" s="14"/>
      <c r="CF73" s="28"/>
      <c r="CH73" s="90"/>
      <c r="CJ73" s="35"/>
      <c r="CK73" s="14"/>
      <c r="CL73" s="147"/>
      <c r="CM73" s="14"/>
      <c r="CN73" s="28"/>
      <c r="CP73" s="90"/>
      <c r="CR73" s="35"/>
      <c r="CS73" s="14"/>
      <c r="CT73" s="147"/>
      <c r="CU73" s="14"/>
      <c r="CV73" s="28"/>
      <c r="CX73" s="90"/>
    </row>
    <row r="74" spans="2:102" ht="9" customHeight="1" thickBot="1" x14ac:dyDescent="0.35">
      <c r="C74" s="39"/>
      <c r="F74" s="17"/>
      <c r="H74" s="36"/>
      <c r="J74" s="36"/>
      <c r="L74" s="31"/>
      <c r="N74" s="31"/>
      <c r="P74" s="36"/>
      <c r="Q74" s="14"/>
      <c r="R74" s="36"/>
      <c r="S74" s="14"/>
      <c r="T74" s="31"/>
      <c r="V74" s="31"/>
      <c r="X74" s="36"/>
      <c r="Y74" s="14"/>
      <c r="Z74" s="36"/>
      <c r="AA74" s="14"/>
      <c r="AB74" s="31"/>
      <c r="AC74" s="14"/>
      <c r="AD74" s="31"/>
      <c r="AF74" s="36"/>
      <c r="AG74" s="14"/>
      <c r="AH74" s="36"/>
      <c r="AI74" s="14"/>
      <c r="AJ74" s="31"/>
      <c r="AL74" s="31"/>
      <c r="AN74" s="36"/>
      <c r="AO74" s="14"/>
      <c r="AP74" s="36"/>
      <c r="AQ74" s="14"/>
      <c r="AR74" s="31"/>
      <c r="AT74" s="31"/>
      <c r="AV74" s="36"/>
      <c r="AW74" s="14"/>
      <c r="AX74" s="36"/>
      <c r="AY74" s="14"/>
      <c r="AZ74" s="31"/>
      <c r="BB74" s="31"/>
      <c r="BD74" s="36"/>
      <c r="BE74" s="14"/>
      <c r="BF74" s="36"/>
      <c r="BG74" s="14"/>
      <c r="BH74" s="31"/>
      <c r="BJ74" s="31"/>
      <c r="BL74" s="36"/>
      <c r="BM74" s="14"/>
      <c r="BN74" s="36"/>
      <c r="BO74" s="14"/>
      <c r="BP74" s="31"/>
      <c r="BR74" s="31"/>
      <c r="BT74" s="36"/>
      <c r="BU74" s="14"/>
      <c r="BV74" s="36"/>
      <c r="BW74" s="14"/>
      <c r="BX74" s="31"/>
      <c r="BZ74" s="31"/>
      <c r="CB74" s="36"/>
      <c r="CC74" s="14"/>
      <c r="CD74" s="36"/>
      <c r="CE74" s="14"/>
      <c r="CF74" s="31"/>
      <c r="CH74" s="31"/>
      <c r="CJ74" s="36"/>
      <c r="CK74" s="14"/>
      <c r="CL74" s="36"/>
      <c r="CM74" s="14"/>
      <c r="CN74" s="31"/>
      <c r="CP74" s="31"/>
      <c r="CR74" s="36"/>
      <c r="CS74" s="14"/>
      <c r="CT74" s="36"/>
      <c r="CU74" s="14"/>
      <c r="CV74" s="31"/>
      <c r="CX74" s="31"/>
    </row>
    <row r="75" spans="2:102" ht="16.2" thickBot="1" x14ac:dyDescent="0.35">
      <c r="B75" s="208" t="s">
        <v>126</v>
      </c>
      <c r="C75" s="209"/>
      <c r="D75" s="29" t="e">
        <f t="shared" ref="D75:F75" si="123">IF(SUM(D76:D80)&lt;&gt;"",SUM(D76:D80),"")</f>
        <v>#DIV/0!</v>
      </c>
      <c r="E75" s="127">
        <f t="shared" si="123"/>
        <v>0</v>
      </c>
      <c r="F75" s="76">
        <f t="shared" si="123"/>
        <v>0</v>
      </c>
      <c r="H75" s="29">
        <f>IF(SUM(H76:H80)&lt;&gt;"",SUM(H76:H80),"")</f>
        <v>0</v>
      </c>
      <c r="J75" s="29">
        <f>IF(SUM(J76:J80)&lt;&gt;"",SUM(J76:J80),"")</f>
        <v>0</v>
      </c>
      <c r="L75" s="94" t="str">
        <f>IF(SUM(L76:L79)&lt;&gt;0,SUM(L76:L79),"")</f>
        <v/>
      </c>
      <c r="N75" s="30" t="e">
        <f>IF(J75&lt;&gt;"",(J75/$D75)-1,"")</f>
        <v>#DIV/0!</v>
      </c>
      <c r="P75" s="29">
        <f>IF(SUM(P76:P80)&lt;&gt;"",SUM(P76:P80),"")</f>
        <v>0</v>
      </c>
      <c r="Q75" s="14"/>
      <c r="R75" s="29">
        <f>IF(SUM(R76:R80)&lt;&gt;"",SUM(R76:R80),"")</f>
        <v>0</v>
      </c>
      <c r="S75" s="14"/>
      <c r="T75" s="94" t="str">
        <f>IF(SUM(T76:T79)&lt;&gt;0,SUM(T76:T79),"")</f>
        <v/>
      </c>
      <c r="V75" s="94" t="str">
        <f t="shared" ref="V75:V77" si="124">IF(R75&lt;&gt;0,(R75/P75)-1,"")</f>
        <v/>
      </c>
      <c r="X75" s="29">
        <f>IF(SUM(X76:X80)&lt;&gt;"",SUM(X76:X80),"")</f>
        <v>0</v>
      </c>
      <c r="Y75" s="14"/>
      <c r="Z75" s="29">
        <f>IF(SUM(Z76:Z80)&lt;&gt;"",SUM(Z76:Z80),"")</f>
        <v>0</v>
      </c>
      <c r="AA75" s="14"/>
      <c r="AB75" s="94" t="str">
        <f>IF(SUM(AB76:AB79)&lt;&gt;0,SUM(AB76:AB79),"")</f>
        <v/>
      </c>
      <c r="AC75" s="14"/>
      <c r="AD75" s="94" t="str">
        <f t="shared" ref="AD75:AD77" si="125">IF(Z75&lt;&gt;0,(Z75/X75)-1,"")</f>
        <v/>
      </c>
      <c r="AF75" s="29">
        <f>IF(SUM(AF76:AF80)&lt;&gt;"",SUM(AF76:AF80),"")</f>
        <v>0</v>
      </c>
      <c r="AG75" s="14"/>
      <c r="AH75" s="29">
        <f>IF(SUM(AH76:AH80)&lt;&gt;"",SUM(AH76:AH80),"")</f>
        <v>0</v>
      </c>
      <c r="AI75" s="14"/>
      <c r="AJ75" s="94" t="str">
        <f>IF(SUM(AJ76:AJ79)&lt;&gt;0,SUM(AJ76:AJ79),"")</f>
        <v/>
      </c>
      <c r="AL75" s="94" t="str">
        <f t="shared" ref="AL75:AL77" si="126">IF(AH75&lt;&gt;0,(AH75/AF75)-1,"")</f>
        <v/>
      </c>
      <c r="AN75" s="29">
        <f>IF(SUM(AN76:AN80)&lt;&gt;"",SUM(AN76:AN80),"")</f>
        <v>0</v>
      </c>
      <c r="AO75" s="14"/>
      <c r="AP75" s="29">
        <f>IF(SUM(AP76:AP80)&lt;&gt;"",SUM(AP76:AP80),"")</f>
        <v>0</v>
      </c>
      <c r="AQ75" s="14"/>
      <c r="AR75" s="94" t="str">
        <f>IF(SUM(AR76:AR79)&lt;&gt;0,SUM(AR76:AR79),"")</f>
        <v/>
      </c>
      <c r="AT75" s="94" t="str">
        <f t="shared" ref="AT75:AT77" si="127">IF(AP75&lt;&gt;0,(AP75/AN75)-1,"")</f>
        <v/>
      </c>
      <c r="AV75" s="29">
        <f>IF(SUM(AV76:AV80)&lt;&gt;"",SUM(AV76:AV80),"")</f>
        <v>0</v>
      </c>
      <c r="AW75" s="14"/>
      <c r="AX75" s="29">
        <f>IF(SUM(AX76:AX80)&lt;&gt;"",SUM(AX76:AX80),"")</f>
        <v>0</v>
      </c>
      <c r="AY75" s="14"/>
      <c r="AZ75" s="94" t="str">
        <f>IF(SUM(AZ76:AZ79)&lt;&gt;0,SUM(AZ76:AZ79),"")</f>
        <v/>
      </c>
      <c r="BB75" s="94" t="str">
        <f t="shared" ref="BB75:BB77" si="128">IF(AX75&lt;&gt;0,(AX75/AV75)-1,"")</f>
        <v/>
      </c>
      <c r="BD75" s="29">
        <f>IF(SUM(BD76:BD80)&lt;&gt;"",SUM(BD76:BD80),"")</f>
        <v>0</v>
      </c>
      <c r="BE75" s="14"/>
      <c r="BF75" s="29">
        <f>IF(SUM(BF76:BF80)&lt;&gt;"",SUM(BF76:BF80),"")</f>
        <v>0</v>
      </c>
      <c r="BG75" s="14"/>
      <c r="BH75" s="94" t="str">
        <f>IF(SUM(BH76:BH79)&lt;&gt;0,SUM(BH76:BH79),"")</f>
        <v/>
      </c>
      <c r="BJ75" s="94" t="str">
        <f t="shared" ref="BJ75:BJ77" si="129">IF(BF75&lt;&gt;0,(BF75/BD75)-1,"")</f>
        <v/>
      </c>
      <c r="BL75" s="29">
        <f>IF(SUM(BL76:BL80)&lt;&gt;"",SUM(BL76:BL80),"")</f>
        <v>0</v>
      </c>
      <c r="BM75" s="14"/>
      <c r="BN75" s="29">
        <f>IF(SUM(BN76:BN80)&lt;&gt;"",SUM(BN76:BN80),"")</f>
        <v>0</v>
      </c>
      <c r="BO75" s="14"/>
      <c r="BP75" s="94" t="str">
        <f>IF(SUM(BP76:BP79)&lt;&gt;0,SUM(BP76:BP79),"")</f>
        <v/>
      </c>
      <c r="BR75" s="94" t="str">
        <f t="shared" ref="BR75:BR77" si="130">IF(BN75&lt;&gt;0,(BN75/BL75)-1,"")</f>
        <v/>
      </c>
      <c r="BT75" s="29">
        <f>IF(SUM(BT76:BT80)&lt;&gt;"",SUM(BT76:BT80),"")</f>
        <v>0</v>
      </c>
      <c r="BU75" s="14"/>
      <c r="BV75" s="29">
        <f>IF(SUM(BV76:BV80)&lt;&gt;"",SUM(BV76:BV80),"")</f>
        <v>0</v>
      </c>
      <c r="BW75" s="14"/>
      <c r="BX75" s="94" t="str">
        <f>IF(SUM(BX76:BX79)&lt;&gt;0,SUM(BX76:BX79),"")</f>
        <v/>
      </c>
      <c r="BZ75" s="94" t="str">
        <f t="shared" ref="BZ75:BZ77" si="131">IF(BV75&lt;&gt;0,(BV75/BT75)-1,"")</f>
        <v/>
      </c>
      <c r="CB75" s="29">
        <f>IF(SUM(CB76:CB80)&lt;&gt;"",SUM(CB76:CB80),"")</f>
        <v>0</v>
      </c>
      <c r="CC75" s="14"/>
      <c r="CD75" s="29">
        <f>IF(SUM(CD76:CD80)&lt;&gt;"",SUM(CD76:CD80),"")</f>
        <v>0</v>
      </c>
      <c r="CE75" s="14"/>
      <c r="CF75" s="94" t="str">
        <f>IF(SUM(CF76:CF79)&lt;&gt;0,SUM(CF76:CF79),"")</f>
        <v/>
      </c>
      <c r="CH75" s="94" t="str">
        <f t="shared" ref="CH75:CH77" si="132">IF(CD75&lt;&gt;0,(CD75/CB75)-1,"")</f>
        <v/>
      </c>
      <c r="CJ75" s="29">
        <f>IF(SUM(CJ76:CJ80)&lt;&gt;"",SUM(CJ76:CJ80),"")</f>
        <v>0</v>
      </c>
      <c r="CK75" s="14"/>
      <c r="CL75" s="29">
        <f>IF(SUM(CL76:CL80)&lt;&gt;"",SUM(CL76:CL80),"")</f>
        <v>0</v>
      </c>
      <c r="CM75" s="14"/>
      <c r="CN75" s="94" t="str">
        <f>IF(SUM(CN76:CN79)&lt;&gt;0,SUM(CN76:CN79),"")</f>
        <v/>
      </c>
      <c r="CP75" s="94" t="str">
        <f t="shared" ref="CP75:CP77" si="133">IF(CL75&lt;&gt;0,(CL75/CJ75)-1,"")</f>
        <v/>
      </c>
      <c r="CR75" s="29">
        <f>IF(SUM(CR76:CR80)&lt;&gt;"",SUM(CR76:CR80),"")</f>
        <v>0</v>
      </c>
      <c r="CS75" s="14"/>
      <c r="CT75" s="29">
        <f>IF(SUM(CT76:CT80)&lt;&gt;"",SUM(CT76:CT80),"")</f>
        <v>0</v>
      </c>
      <c r="CU75" s="14"/>
      <c r="CV75" s="94" t="str">
        <f>IF(SUM(CV76:CV79)&lt;&gt;0,SUM(CV76:CV79),"")</f>
        <v/>
      </c>
      <c r="CX75" s="94" t="str">
        <f t="shared" ref="CX75:CX77" si="134">IF(CT75&lt;&gt;0,(CT75/CR75)-1,"")</f>
        <v/>
      </c>
    </row>
    <row r="76" spans="2:102" ht="15.6" x14ac:dyDescent="0.3">
      <c r="B76" s="98"/>
      <c r="C76" s="21" t="s">
        <v>108</v>
      </c>
      <c r="D76" s="78" t="e">
        <f t="shared" ref="D76:D80" si="135">IF(AVERAGE(J76,R76,Z76,AH76,AP76,AX76,BF76,BN76,BV76,CD76,CL76,CT76)&lt;&gt;"",AVERAGE(J76,R76,Z76,AH76,AP76,AX76,BF76,BN76,BV76,CD76,CL76,CT76),"")</f>
        <v>#DIV/0!</v>
      </c>
      <c r="E76" s="130">
        <f t="shared" ref="E76:E80" si="136">IF(SUM(J76,R76,Z76,AH76,AP76,AX76,BF76,BN76,BV76,CD76,CL76,CT76)&lt;&gt;"",SUM(J76,R76,Z76,AH76,AP76,AX76,BF76,BN76,BV76,CD76,CL76,CT76),"")</f>
        <v>0</v>
      </c>
      <c r="F76" s="73" t="str">
        <f t="shared" ref="F76:F80" si="137">IF(E76&lt;&gt;0,E76/E$7,"")</f>
        <v/>
      </c>
      <c r="H76" s="35"/>
      <c r="J76" s="147"/>
      <c r="L76" s="28" t="str">
        <f>IF(J76&lt;&gt;"",J76/J$7,"")</f>
        <v/>
      </c>
      <c r="N76" s="90" t="str">
        <f t="shared" ref="N76:N80" si="138">IF(J76&lt;&gt;0,(J76/D76)-1,"")</f>
        <v/>
      </c>
      <c r="P76" s="35"/>
      <c r="Q76" s="14"/>
      <c r="R76" s="147"/>
      <c r="S76" s="14"/>
      <c r="T76" s="28" t="str">
        <f>IF(R76&lt;&gt;"",R76/R$7,"")</f>
        <v/>
      </c>
      <c r="V76" s="90" t="str">
        <f t="shared" si="124"/>
        <v/>
      </c>
      <c r="X76" s="35"/>
      <c r="Y76" s="14"/>
      <c r="Z76" s="147"/>
      <c r="AA76" s="14"/>
      <c r="AB76" s="28" t="str">
        <f>IF(Z76&lt;&gt;"",Z76/Z$7,"")</f>
        <v/>
      </c>
      <c r="AC76" s="14"/>
      <c r="AD76" s="90" t="str">
        <f t="shared" si="125"/>
        <v/>
      </c>
      <c r="AF76" s="35"/>
      <c r="AG76" s="14"/>
      <c r="AH76" s="147"/>
      <c r="AI76" s="14"/>
      <c r="AJ76" s="28" t="str">
        <f>IF(AH76&lt;&gt;"",AH76/AH$7,"")</f>
        <v/>
      </c>
      <c r="AL76" s="90" t="str">
        <f t="shared" si="126"/>
        <v/>
      </c>
      <c r="AN76" s="35"/>
      <c r="AO76" s="14"/>
      <c r="AP76" s="147"/>
      <c r="AQ76" s="14"/>
      <c r="AR76" s="28" t="str">
        <f>IF(AP76&lt;&gt;"",AP76/AP$7,"")</f>
        <v/>
      </c>
      <c r="AT76" s="90" t="str">
        <f t="shared" si="127"/>
        <v/>
      </c>
      <c r="AV76" s="35"/>
      <c r="AW76" s="14"/>
      <c r="AX76" s="147"/>
      <c r="AY76" s="14"/>
      <c r="AZ76" s="28" t="str">
        <f>IF(AX76&lt;&gt;"",AX76/AX$7,"")</f>
        <v/>
      </c>
      <c r="BB76" s="90" t="str">
        <f t="shared" si="128"/>
        <v/>
      </c>
      <c r="BD76" s="35"/>
      <c r="BE76" s="14"/>
      <c r="BF76" s="147"/>
      <c r="BG76" s="14"/>
      <c r="BH76" s="28" t="str">
        <f>IF(BF76&lt;&gt;"",BF76/BF$7,"")</f>
        <v/>
      </c>
      <c r="BJ76" s="90" t="str">
        <f t="shared" si="129"/>
        <v/>
      </c>
      <c r="BL76" s="35"/>
      <c r="BM76" s="14"/>
      <c r="BN76" s="147"/>
      <c r="BO76" s="14"/>
      <c r="BP76" s="28" t="str">
        <f>IF(BN76&lt;&gt;"",BN76/BN$7,"")</f>
        <v/>
      </c>
      <c r="BR76" s="90" t="str">
        <f t="shared" si="130"/>
        <v/>
      </c>
      <c r="BT76" s="35"/>
      <c r="BU76" s="14"/>
      <c r="BV76" s="147"/>
      <c r="BW76" s="14"/>
      <c r="BX76" s="28" t="str">
        <f>IF(BV76&lt;&gt;"",BV76/BV$7,"")</f>
        <v/>
      </c>
      <c r="BZ76" s="90" t="str">
        <f t="shared" si="131"/>
        <v/>
      </c>
      <c r="CB76" s="35"/>
      <c r="CC76" s="14"/>
      <c r="CD76" s="147"/>
      <c r="CE76" s="14"/>
      <c r="CF76" s="28" t="str">
        <f>IF(CD76&lt;&gt;"",CD76/CD$7,"")</f>
        <v/>
      </c>
      <c r="CH76" s="90" t="str">
        <f t="shared" si="132"/>
        <v/>
      </c>
      <c r="CJ76" s="35"/>
      <c r="CK76" s="14"/>
      <c r="CL76" s="147"/>
      <c r="CM76" s="14"/>
      <c r="CN76" s="28" t="str">
        <f>IF(CL76&lt;&gt;"",CL76/CL$7,"")</f>
        <v/>
      </c>
      <c r="CP76" s="90" t="str">
        <f t="shared" si="133"/>
        <v/>
      </c>
      <c r="CR76" s="35"/>
      <c r="CS76" s="14"/>
      <c r="CT76" s="147"/>
      <c r="CU76" s="14"/>
      <c r="CV76" s="28" t="str">
        <f>IF(CT76&lt;&gt;"",CT76/CT$7,"")</f>
        <v/>
      </c>
      <c r="CX76" s="90" t="str">
        <f t="shared" si="134"/>
        <v/>
      </c>
    </row>
    <row r="77" spans="2:102" ht="15.6" x14ac:dyDescent="0.3">
      <c r="B77" s="51"/>
      <c r="C77" s="21" t="s">
        <v>97</v>
      </c>
      <c r="D77" s="70" t="e">
        <f t="shared" si="135"/>
        <v>#DIV/0!</v>
      </c>
      <c r="E77" s="130">
        <f t="shared" si="136"/>
        <v>0</v>
      </c>
      <c r="F77" s="73" t="str">
        <f t="shared" si="137"/>
        <v/>
      </c>
      <c r="H77" s="99"/>
      <c r="J77" s="148"/>
      <c r="L77" s="28" t="str">
        <f>IF(J77&lt;&gt;"",J77/J$7,"")</f>
        <v/>
      </c>
      <c r="N77" s="90" t="str">
        <f t="shared" si="138"/>
        <v/>
      </c>
      <c r="P77" s="99"/>
      <c r="Q77" s="14"/>
      <c r="R77" s="148"/>
      <c r="S77" s="14"/>
      <c r="T77" s="28" t="str">
        <f>IF(R77&lt;&gt;"",R77/R$7,"")</f>
        <v/>
      </c>
      <c r="V77" s="90" t="str">
        <f t="shared" si="124"/>
        <v/>
      </c>
      <c r="X77" s="99"/>
      <c r="Y77" s="14"/>
      <c r="Z77" s="148"/>
      <c r="AA77" s="14"/>
      <c r="AB77" s="28" t="str">
        <f>IF(Z77&lt;&gt;"",Z77/Z$7,"")</f>
        <v/>
      </c>
      <c r="AC77" s="14"/>
      <c r="AD77" s="90" t="str">
        <f t="shared" si="125"/>
        <v/>
      </c>
      <c r="AF77" s="99"/>
      <c r="AG77" s="14"/>
      <c r="AH77" s="148"/>
      <c r="AI77" s="14"/>
      <c r="AJ77" s="28" t="str">
        <f>IF(AH77&lt;&gt;"",AH77/AH$7,"")</f>
        <v/>
      </c>
      <c r="AL77" s="90" t="str">
        <f t="shared" si="126"/>
        <v/>
      </c>
      <c r="AN77" s="99"/>
      <c r="AO77" s="14"/>
      <c r="AP77" s="148"/>
      <c r="AQ77" s="14"/>
      <c r="AR77" s="28" t="str">
        <f>IF(AP77&lt;&gt;"",AP77/AP$7,"")</f>
        <v/>
      </c>
      <c r="AT77" s="90" t="str">
        <f t="shared" si="127"/>
        <v/>
      </c>
      <c r="AV77" s="99"/>
      <c r="AW77" s="14"/>
      <c r="AX77" s="148"/>
      <c r="AY77" s="14"/>
      <c r="AZ77" s="28" t="str">
        <f>IF(AX77&lt;&gt;"",AX77/AX$7,"")</f>
        <v/>
      </c>
      <c r="BB77" s="90" t="str">
        <f t="shared" si="128"/>
        <v/>
      </c>
      <c r="BD77" s="99"/>
      <c r="BE77" s="14"/>
      <c r="BF77" s="148"/>
      <c r="BG77" s="14"/>
      <c r="BH77" s="28" t="str">
        <f>IF(BF77&lt;&gt;"",BF77/BF$7,"")</f>
        <v/>
      </c>
      <c r="BJ77" s="90" t="str">
        <f t="shared" si="129"/>
        <v/>
      </c>
      <c r="BL77" s="99"/>
      <c r="BM77" s="14"/>
      <c r="BN77" s="148"/>
      <c r="BO77" s="14"/>
      <c r="BP77" s="28" t="str">
        <f>IF(BN77&lt;&gt;"",BN77/BN$7,"")</f>
        <v/>
      </c>
      <c r="BR77" s="90" t="str">
        <f t="shared" si="130"/>
        <v/>
      </c>
      <c r="BT77" s="99"/>
      <c r="BU77" s="14"/>
      <c r="BV77" s="148"/>
      <c r="BW77" s="14"/>
      <c r="BX77" s="28" t="str">
        <f>IF(BV77&lt;&gt;"",BV77/BV$7,"")</f>
        <v/>
      </c>
      <c r="BZ77" s="90" t="str">
        <f t="shared" si="131"/>
        <v/>
      </c>
      <c r="CB77" s="99"/>
      <c r="CC77" s="14"/>
      <c r="CD77" s="148"/>
      <c r="CE77" s="14"/>
      <c r="CF77" s="28" t="str">
        <f>IF(CD77&lt;&gt;"",CD77/CD$7,"")</f>
        <v/>
      </c>
      <c r="CH77" s="90" t="str">
        <f t="shared" si="132"/>
        <v/>
      </c>
      <c r="CJ77" s="99"/>
      <c r="CK77" s="14"/>
      <c r="CL77" s="148"/>
      <c r="CM77" s="14"/>
      <c r="CN77" s="28" t="str">
        <f>IF(CL77&lt;&gt;"",CL77/CL$7,"")</f>
        <v/>
      </c>
      <c r="CP77" s="90" t="str">
        <f t="shared" si="133"/>
        <v/>
      </c>
      <c r="CR77" s="99"/>
      <c r="CS77" s="14"/>
      <c r="CT77" s="148"/>
      <c r="CU77" s="14"/>
      <c r="CV77" s="28" t="str">
        <f>IF(CT77&lt;&gt;"",CT77/CT$7,"")</f>
        <v/>
      </c>
      <c r="CX77" s="90" t="str">
        <f t="shared" si="134"/>
        <v/>
      </c>
    </row>
    <row r="78" spans="2:102" ht="15.6" x14ac:dyDescent="0.3">
      <c r="B78" s="51"/>
      <c r="C78" s="21" t="s">
        <v>98</v>
      </c>
      <c r="D78" s="70" t="e">
        <f t="shared" si="135"/>
        <v>#DIV/0!</v>
      </c>
      <c r="E78" s="130">
        <f t="shared" si="136"/>
        <v>0</v>
      </c>
      <c r="F78" s="73" t="str">
        <f t="shared" si="137"/>
        <v/>
      </c>
      <c r="H78" s="99"/>
      <c r="J78" s="148"/>
      <c r="L78" s="28" t="str">
        <f t="shared" ref="L78:L79" si="139">IF(J78&lt;&gt;"",J78/J$7,"")</f>
        <v/>
      </c>
      <c r="N78" s="90" t="str">
        <f t="shared" si="138"/>
        <v/>
      </c>
      <c r="P78" s="99"/>
      <c r="Q78" s="14"/>
      <c r="R78" s="148"/>
      <c r="S78" s="14"/>
      <c r="T78" s="28" t="str">
        <f t="shared" ref="T78:T79" si="140">IF(R78&lt;&gt;"",R78/R$7,"")</f>
        <v/>
      </c>
      <c r="V78" s="90"/>
      <c r="X78" s="99"/>
      <c r="Y78" s="14"/>
      <c r="Z78" s="148"/>
      <c r="AA78" s="14"/>
      <c r="AB78" s="28" t="str">
        <f t="shared" ref="AB78:AB79" si="141">IF(Z78&lt;&gt;"",Z78/Z$7,"")</f>
        <v/>
      </c>
      <c r="AC78" s="14"/>
      <c r="AD78" s="90"/>
      <c r="AF78" s="99"/>
      <c r="AG78" s="14"/>
      <c r="AH78" s="148"/>
      <c r="AI78" s="14"/>
      <c r="AJ78" s="28" t="str">
        <f t="shared" ref="AJ78:AJ79" si="142">IF(AH78&lt;&gt;"",AH78/AH$7,"")</f>
        <v/>
      </c>
      <c r="AL78" s="90"/>
      <c r="AN78" s="99"/>
      <c r="AO78" s="14"/>
      <c r="AP78" s="148"/>
      <c r="AQ78" s="14"/>
      <c r="AR78" s="28" t="str">
        <f t="shared" ref="AR78:AR79" si="143">IF(AP78&lt;&gt;"",AP78/AP$7,"")</f>
        <v/>
      </c>
      <c r="AT78" s="90"/>
      <c r="AV78" s="99"/>
      <c r="AW78" s="14"/>
      <c r="AX78" s="148"/>
      <c r="AY78" s="14"/>
      <c r="AZ78" s="28" t="str">
        <f t="shared" ref="AZ78:AZ79" si="144">IF(AX78&lt;&gt;"",AX78/AX$7,"")</f>
        <v/>
      </c>
      <c r="BB78" s="90"/>
      <c r="BD78" s="99"/>
      <c r="BE78" s="14"/>
      <c r="BF78" s="148"/>
      <c r="BG78" s="14"/>
      <c r="BH78" s="28" t="str">
        <f t="shared" ref="BH78:BH79" si="145">IF(BF78&lt;&gt;"",BF78/BF$7,"")</f>
        <v/>
      </c>
      <c r="BJ78" s="90"/>
      <c r="BL78" s="99"/>
      <c r="BM78" s="14"/>
      <c r="BN78" s="148"/>
      <c r="BO78" s="14"/>
      <c r="BP78" s="28" t="str">
        <f t="shared" ref="BP78:BP79" si="146">IF(BN78&lt;&gt;"",BN78/BN$7,"")</f>
        <v/>
      </c>
      <c r="BR78" s="90"/>
      <c r="BT78" s="99"/>
      <c r="BU78" s="14"/>
      <c r="BV78" s="148"/>
      <c r="BW78" s="14"/>
      <c r="BX78" s="28" t="str">
        <f t="shared" ref="BX78:BX79" si="147">IF(BV78&lt;&gt;"",BV78/BV$7,"")</f>
        <v/>
      </c>
      <c r="BZ78" s="90"/>
      <c r="CB78" s="99"/>
      <c r="CC78" s="14"/>
      <c r="CD78" s="148"/>
      <c r="CE78" s="14"/>
      <c r="CF78" s="28" t="str">
        <f t="shared" ref="CF78:CF79" si="148">IF(CD78&lt;&gt;"",CD78/CD$7,"")</f>
        <v/>
      </c>
      <c r="CH78" s="90"/>
      <c r="CJ78" s="99"/>
      <c r="CK78" s="14"/>
      <c r="CL78" s="148"/>
      <c r="CM78" s="14"/>
      <c r="CN78" s="28" t="str">
        <f t="shared" ref="CN78:CN79" si="149">IF(CL78&lt;&gt;"",CL78/CL$7,"")</f>
        <v/>
      </c>
      <c r="CP78" s="90"/>
      <c r="CR78" s="99"/>
      <c r="CS78" s="14"/>
      <c r="CT78" s="148"/>
      <c r="CU78" s="14"/>
      <c r="CV78" s="28" t="str">
        <f t="shared" ref="CV78:CV79" si="150">IF(CT78&lt;&gt;"",CT78/CT$7,"")</f>
        <v/>
      </c>
      <c r="CX78" s="90"/>
    </row>
    <row r="79" spans="2:102" ht="15.6" x14ac:dyDescent="0.3">
      <c r="B79" s="51"/>
      <c r="C79" s="21" t="s">
        <v>99</v>
      </c>
      <c r="D79" s="70" t="e">
        <f t="shared" si="135"/>
        <v>#DIV/0!</v>
      </c>
      <c r="E79" s="130">
        <f t="shared" si="136"/>
        <v>0</v>
      </c>
      <c r="F79" s="73" t="str">
        <f t="shared" si="137"/>
        <v/>
      </c>
      <c r="H79" s="99"/>
      <c r="J79" s="148"/>
      <c r="L79" s="28" t="str">
        <f t="shared" si="139"/>
        <v/>
      </c>
      <c r="N79" s="90" t="str">
        <f t="shared" si="138"/>
        <v/>
      </c>
      <c r="P79" s="99"/>
      <c r="Q79" s="14"/>
      <c r="R79" s="148"/>
      <c r="S79" s="14"/>
      <c r="T79" s="28" t="str">
        <f t="shared" si="140"/>
        <v/>
      </c>
      <c r="V79" s="90"/>
      <c r="X79" s="99"/>
      <c r="Y79" s="14"/>
      <c r="Z79" s="148"/>
      <c r="AA79" s="14"/>
      <c r="AB79" s="28" t="str">
        <f t="shared" si="141"/>
        <v/>
      </c>
      <c r="AC79" s="14"/>
      <c r="AD79" s="90"/>
      <c r="AF79" s="99"/>
      <c r="AG79" s="14"/>
      <c r="AH79" s="148"/>
      <c r="AI79" s="14"/>
      <c r="AJ79" s="28" t="str">
        <f t="shared" si="142"/>
        <v/>
      </c>
      <c r="AL79" s="90"/>
      <c r="AN79" s="99"/>
      <c r="AO79" s="14"/>
      <c r="AP79" s="148"/>
      <c r="AQ79" s="14"/>
      <c r="AR79" s="28" t="str">
        <f t="shared" si="143"/>
        <v/>
      </c>
      <c r="AT79" s="90"/>
      <c r="AV79" s="99"/>
      <c r="AW79" s="14"/>
      <c r="AX79" s="148"/>
      <c r="AY79" s="14"/>
      <c r="AZ79" s="28" t="str">
        <f t="shared" si="144"/>
        <v/>
      </c>
      <c r="BB79" s="90"/>
      <c r="BD79" s="99"/>
      <c r="BE79" s="14"/>
      <c r="BF79" s="148"/>
      <c r="BG79" s="14"/>
      <c r="BH79" s="28" t="str">
        <f t="shared" si="145"/>
        <v/>
      </c>
      <c r="BJ79" s="90"/>
      <c r="BL79" s="99"/>
      <c r="BM79" s="14"/>
      <c r="BN79" s="148"/>
      <c r="BO79" s="14"/>
      <c r="BP79" s="28" t="str">
        <f t="shared" si="146"/>
        <v/>
      </c>
      <c r="BR79" s="90"/>
      <c r="BT79" s="99"/>
      <c r="BU79" s="14"/>
      <c r="BV79" s="148"/>
      <c r="BW79" s="14"/>
      <c r="BX79" s="28" t="str">
        <f t="shared" si="147"/>
        <v/>
      </c>
      <c r="BZ79" s="90"/>
      <c r="CB79" s="99"/>
      <c r="CC79" s="14"/>
      <c r="CD79" s="148"/>
      <c r="CE79" s="14"/>
      <c r="CF79" s="28" t="str">
        <f t="shared" si="148"/>
        <v/>
      </c>
      <c r="CH79" s="90"/>
      <c r="CJ79" s="99"/>
      <c r="CK79" s="14"/>
      <c r="CL79" s="148"/>
      <c r="CM79" s="14"/>
      <c r="CN79" s="28" t="str">
        <f t="shared" si="149"/>
        <v/>
      </c>
      <c r="CP79" s="90"/>
      <c r="CR79" s="99"/>
      <c r="CS79" s="14"/>
      <c r="CT79" s="148"/>
      <c r="CU79" s="14"/>
      <c r="CV79" s="28" t="str">
        <f t="shared" si="150"/>
        <v/>
      </c>
      <c r="CX79" s="90"/>
    </row>
    <row r="80" spans="2:102" ht="16.2" thickBot="1" x14ac:dyDescent="0.35">
      <c r="B80" s="52"/>
      <c r="C80" s="62" t="s">
        <v>140</v>
      </c>
      <c r="D80" s="71" t="e">
        <f t="shared" si="135"/>
        <v>#DIV/0!</v>
      </c>
      <c r="E80" s="133">
        <f t="shared" si="136"/>
        <v>0</v>
      </c>
      <c r="F80" s="81" t="str">
        <f t="shared" si="137"/>
        <v/>
      </c>
      <c r="H80" s="64"/>
      <c r="J80" s="149"/>
      <c r="L80" s="65" t="str">
        <f t="shared" ref="L80" si="151">IF(J80&lt;&gt;"",J80/$J$7,"")</f>
        <v/>
      </c>
      <c r="N80" s="90" t="str">
        <f t="shared" si="138"/>
        <v/>
      </c>
      <c r="P80" s="64"/>
      <c r="Q80" s="14"/>
      <c r="R80" s="149"/>
      <c r="S80" s="14"/>
      <c r="T80" s="65" t="str">
        <f t="shared" ref="T80" si="152">IF(R80&lt;&gt;"",R80/$J$7,"")</f>
        <v/>
      </c>
      <c r="V80" s="90" t="str">
        <f t="shared" ref="V80" si="153">IF(R80&lt;&gt;0,(R80/P80)-1,"")</f>
        <v/>
      </c>
      <c r="X80" s="64"/>
      <c r="Y80" s="14"/>
      <c r="Z80" s="149"/>
      <c r="AA80" s="14"/>
      <c r="AB80" s="65" t="str">
        <f t="shared" ref="AB80" si="154">IF(Z80&lt;&gt;"",Z80/$J$7,"")</f>
        <v/>
      </c>
      <c r="AC80" s="14"/>
      <c r="AD80" s="90" t="str">
        <f t="shared" ref="AD80" si="155">IF(Z80&lt;&gt;0,(Z80/X80)-1,"")</f>
        <v/>
      </c>
      <c r="AF80" s="64"/>
      <c r="AG80" s="14"/>
      <c r="AH80" s="149"/>
      <c r="AI80" s="14"/>
      <c r="AJ80" s="65" t="str">
        <f t="shared" ref="AJ80" si="156">IF(AH80&lt;&gt;"",AH80/$J$7,"")</f>
        <v/>
      </c>
      <c r="AL80" s="90" t="str">
        <f t="shared" ref="AL80" si="157">IF(AH80&lt;&gt;0,(AH80/AF80)-1,"")</f>
        <v/>
      </c>
      <c r="AN80" s="64"/>
      <c r="AO80" s="14"/>
      <c r="AP80" s="149"/>
      <c r="AQ80" s="14"/>
      <c r="AR80" s="65" t="str">
        <f t="shared" ref="AR80" si="158">IF(AP80&lt;&gt;"",AP80/$J$7,"")</f>
        <v/>
      </c>
      <c r="AT80" s="90" t="str">
        <f t="shared" ref="AT80" si="159">IF(AP80&lt;&gt;0,(AP80/AN80)-1,"")</f>
        <v/>
      </c>
      <c r="AV80" s="64"/>
      <c r="AW80" s="14"/>
      <c r="AX80" s="149"/>
      <c r="AY80" s="14"/>
      <c r="AZ80" s="65" t="str">
        <f t="shared" ref="AZ80" si="160">IF(AX80&lt;&gt;"",AX80/$J$7,"")</f>
        <v/>
      </c>
      <c r="BB80" s="90" t="str">
        <f t="shared" ref="BB80" si="161">IF(AX80&lt;&gt;0,(AX80/AV80)-1,"")</f>
        <v/>
      </c>
      <c r="BD80" s="64"/>
      <c r="BE80" s="14"/>
      <c r="BF80" s="149"/>
      <c r="BG80" s="14"/>
      <c r="BH80" s="65" t="str">
        <f t="shared" ref="BH80" si="162">IF(BF80&lt;&gt;"",BF80/$J$7,"")</f>
        <v/>
      </c>
      <c r="BJ80" s="90" t="str">
        <f t="shared" ref="BJ80" si="163">IF(BF80&lt;&gt;0,(BF80/BD80)-1,"")</f>
        <v/>
      </c>
      <c r="BL80" s="64"/>
      <c r="BM80" s="14"/>
      <c r="BN80" s="149"/>
      <c r="BO80" s="14"/>
      <c r="BP80" s="65" t="str">
        <f t="shared" ref="BP80" si="164">IF(BN80&lt;&gt;"",BN80/$J$7,"")</f>
        <v/>
      </c>
      <c r="BR80" s="90" t="str">
        <f t="shared" ref="BR80" si="165">IF(BN80&lt;&gt;0,(BN80/BL80)-1,"")</f>
        <v/>
      </c>
      <c r="BT80" s="64"/>
      <c r="BU80" s="14"/>
      <c r="BV80" s="149"/>
      <c r="BW80" s="14"/>
      <c r="BX80" s="65" t="str">
        <f t="shared" ref="BX80" si="166">IF(BV80&lt;&gt;"",BV80/$J$7,"")</f>
        <v/>
      </c>
      <c r="BZ80" s="90" t="str">
        <f t="shared" ref="BZ80" si="167">IF(BV80&lt;&gt;0,(BV80/BT80)-1,"")</f>
        <v/>
      </c>
      <c r="CB80" s="64"/>
      <c r="CC80" s="14"/>
      <c r="CD80" s="149"/>
      <c r="CE80" s="14"/>
      <c r="CF80" s="65" t="str">
        <f t="shared" ref="CF80" si="168">IF(CD80&lt;&gt;"",CD80/$J$7,"")</f>
        <v/>
      </c>
      <c r="CH80" s="90" t="str">
        <f t="shared" ref="CH80" si="169">IF(CD80&lt;&gt;0,(CD80/CB80)-1,"")</f>
        <v/>
      </c>
      <c r="CJ80" s="64"/>
      <c r="CK80" s="14"/>
      <c r="CL80" s="149"/>
      <c r="CM80" s="14"/>
      <c r="CN80" s="65" t="str">
        <f t="shared" ref="CN80" si="170">IF(CL80&lt;&gt;"",CL80/$J$7,"")</f>
        <v/>
      </c>
      <c r="CP80" s="90" t="str">
        <f t="shared" ref="CP80" si="171">IF(CL80&lt;&gt;0,(CL80/CJ80)-1,"")</f>
        <v/>
      </c>
      <c r="CR80" s="64"/>
      <c r="CS80" s="14"/>
      <c r="CT80" s="149"/>
      <c r="CU80" s="14"/>
      <c r="CV80" s="65" t="str">
        <f t="shared" ref="CV80" si="172">IF(CT80&lt;&gt;"",CT80/$J$7,"")</f>
        <v/>
      </c>
      <c r="CX80" s="90" t="str">
        <f t="shared" ref="CX80" si="173">IF(CT80&lt;&gt;0,(CT80/CR80)-1,"")</f>
        <v/>
      </c>
    </row>
    <row r="81" spans="2:102" ht="9" customHeight="1" thickBot="1" x14ac:dyDescent="0.35">
      <c r="C81" s="39"/>
      <c r="F81" s="17"/>
      <c r="H81" s="36"/>
      <c r="J81" s="36"/>
      <c r="L81" s="31"/>
      <c r="N81" s="31"/>
      <c r="P81" s="36"/>
      <c r="Q81" s="14"/>
      <c r="R81" s="36"/>
      <c r="S81" s="14"/>
      <c r="T81" s="31"/>
      <c r="V81" s="31"/>
      <c r="X81" s="36"/>
      <c r="Y81" s="14"/>
      <c r="Z81" s="36"/>
      <c r="AA81" s="14"/>
      <c r="AB81" s="31"/>
      <c r="AC81" s="14"/>
      <c r="AD81" s="31"/>
      <c r="AF81" s="36"/>
      <c r="AG81" s="14"/>
      <c r="AH81" s="36"/>
      <c r="AI81" s="14"/>
      <c r="AJ81" s="31"/>
      <c r="AL81" s="31"/>
      <c r="AN81" s="36"/>
      <c r="AO81" s="14"/>
      <c r="AP81" s="36"/>
      <c r="AQ81" s="14"/>
      <c r="AR81" s="31"/>
      <c r="AT81" s="31"/>
      <c r="AV81" s="36"/>
      <c r="AW81" s="14"/>
      <c r="AX81" s="36"/>
      <c r="AY81" s="14"/>
      <c r="AZ81" s="31"/>
      <c r="BB81" s="31"/>
      <c r="BD81" s="36"/>
      <c r="BE81" s="14"/>
      <c r="BF81" s="36"/>
      <c r="BG81" s="14"/>
      <c r="BH81" s="31"/>
      <c r="BJ81" s="31"/>
      <c r="BL81" s="36"/>
      <c r="BM81" s="14"/>
      <c r="BN81" s="36"/>
      <c r="BO81" s="14"/>
      <c r="BP81" s="31"/>
      <c r="BR81" s="31"/>
      <c r="BT81" s="36"/>
      <c r="BU81" s="14"/>
      <c r="BV81" s="36"/>
      <c r="BW81" s="14"/>
      <c r="BX81" s="31"/>
      <c r="BZ81" s="31"/>
      <c r="CB81" s="36"/>
      <c r="CC81" s="14"/>
      <c r="CD81" s="36"/>
      <c r="CE81" s="14"/>
      <c r="CF81" s="31"/>
      <c r="CH81" s="31"/>
      <c r="CJ81" s="36"/>
      <c r="CK81" s="14"/>
      <c r="CL81" s="36"/>
      <c r="CM81" s="14"/>
      <c r="CN81" s="31"/>
      <c r="CP81" s="31"/>
      <c r="CR81" s="36"/>
      <c r="CS81" s="14"/>
      <c r="CT81" s="36"/>
      <c r="CU81" s="14"/>
      <c r="CV81" s="31"/>
      <c r="CX81" s="31"/>
    </row>
    <row r="82" spans="2:102" ht="16.2" thickBot="1" x14ac:dyDescent="0.35">
      <c r="B82" s="208" t="s">
        <v>127</v>
      </c>
      <c r="C82" s="209"/>
      <c r="D82" s="29" t="e">
        <f t="shared" ref="D82:F82" si="174">IF(SUM(D83:D91)&lt;&gt;"",SUM(D83:D91),"")</f>
        <v>#DIV/0!</v>
      </c>
      <c r="E82" s="127">
        <f t="shared" si="174"/>
        <v>0</v>
      </c>
      <c r="F82" s="76">
        <f t="shared" si="174"/>
        <v>0</v>
      </c>
      <c r="H82" s="29">
        <f>IF(SUM(H83:H91)&lt;&gt;"",SUM(H83:H91),"")</f>
        <v>0</v>
      </c>
      <c r="J82" s="29">
        <f>IF(SUM(J83:J91)&lt;&gt;"",SUM(J83:J91),"")</f>
        <v>0</v>
      </c>
      <c r="L82" s="94" t="str">
        <f>IF(SUM(L83:L90)&lt;&gt;0,SUM(L83:L90),"")</f>
        <v/>
      </c>
      <c r="N82" s="30" t="e">
        <f>IF(J82&lt;&gt;"",(J82/$D82)-1,"")</f>
        <v>#DIV/0!</v>
      </c>
      <c r="P82" s="29">
        <f>IF(SUM(P83:P91)&lt;&gt;"",SUM(P83:P91),"")</f>
        <v>0</v>
      </c>
      <c r="Q82" s="14"/>
      <c r="R82" s="29">
        <f>IF(SUM(R83:R91)&lt;&gt;"",SUM(R83:R91),"")</f>
        <v>0</v>
      </c>
      <c r="S82" s="14"/>
      <c r="T82" s="94" t="str">
        <f>IF(SUM(T83:T90)&lt;&gt;0,SUM(T83:T90),"")</f>
        <v/>
      </c>
      <c r="V82" s="94" t="str">
        <f t="shared" ref="V82:V84" si="175">IF(R82&lt;&gt;0,(R82/P82)-1,"")</f>
        <v/>
      </c>
      <c r="X82" s="29">
        <f>IF(SUM(X83:X91)&lt;&gt;"",SUM(X83:X91),"")</f>
        <v>0</v>
      </c>
      <c r="Y82" s="14"/>
      <c r="Z82" s="29">
        <f>IF(SUM(Z83:Z91)&lt;&gt;"",SUM(Z83:Z91),"")</f>
        <v>0</v>
      </c>
      <c r="AA82" s="14"/>
      <c r="AB82" s="94" t="str">
        <f>IF(SUM(AB83:AB90)&lt;&gt;0,SUM(AB83:AB90),"")</f>
        <v/>
      </c>
      <c r="AC82" s="14"/>
      <c r="AD82" s="94" t="str">
        <f t="shared" ref="AD82:AD84" si="176">IF(Z82&lt;&gt;0,(Z82/X82)-1,"")</f>
        <v/>
      </c>
      <c r="AF82" s="29">
        <f>IF(SUM(AF83:AF91)&lt;&gt;"",SUM(AF83:AF91),"")</f>
        <v>0</v>
      </c>
      <c r="AG82" s="14"/>
      <c r="AH82" s="29">
        <f>IF(SUM(AH83:AH91)&lt;&gt;"",SUM(AH83:AH91),"")</f>
        <v>0</v>
      </c>
      <c r="AI82" s="14"/>
      <c r="AJ82" s="94" t="str">
        <f>IF(SUM(AJ83:AJ90)&lt;&gt;0,SUM(AJ83:AJ90),"")</f>
        <v/>
      </c>
      <c r="AL82" s="94" t="str">
        <f t="shared" ref="AL82:AL84" si="177">IF(AH82&lt;&gt;0,(AH82/AF82)-1,"")</f>
        <v/>
      </c>
      <c r="AN82" s="29">
        <f>IF(SUM(AN83:AN91)&lt;&gt;"",SUM(AN83:AN91),"")</f>
        <v>0</v>
      </c>
      <c r="AO82" s="14"/>
      <c r="AP82" s="29">
        <f>IF(SUM(AP83:AP91)&lt;&gt;"",SUM(AP83:AP91),"")</f>
        <v>0</v>
      </c>
      <c r="AQ82" s="14"/>
      <c r="AR82" s="94" t="str">
        <f>IF(SUM(AR83:AR90)&lt;&gt;0,SUM(AR83:AR90),"")</f>
        <v/>
      </c>
      <c r="AT82" s="94" t="str">
        <f t="shared" ref="AT82:AT84" si="178">IF(AP82&lt;&gt;0,(AP82/AN82)-1,"")</f>
        <v/>
      </c>
      <c r="AV82" s="29">
        <f>IF(SUM(AV83:AV91)&lt;&gt;"",SUM(AV83:AV91),"")</f>
        <v>0</v>
      </c>
      <c r="AW82" s="14"/>
      <c r="AX82" s="29">
        <f>IF(SUM(AX83:AX91)&lt;&gt;"",SUM(AX83:AX91),"")</f>
        <v>0</v>
      </c>
      <c r="AY82" s="14"/>
      <c r="AZ82" s="94" t="str">
        <f>IF(SUM(AZ83:AZ90)&lt;&gt;0,SUM(AZ83:AZ90),"")</f>
        <v/>
      </c>
      <c r="BB82" s="94" t="str">
        <f t="shared" ref="BB82:BB84" si="179">IF(AX82&lt;&gt;0,(AX82/AV82)-1,"")</f>
        <v/>
      </c>
      <c r="BD82" s="29">
        <f>IF(SUM(BD83:BD91)&lt;&gt;"",SUM(BD83:BD91),"")</f>
        <v>0</v>
      </c>
      <c r="BE82" s="14"/>
      <c r="BF82" s="29">
        <f>IF(SUM(BF83:BF91)&lt;&gt;"",SUM(BF83:BF91),"")</f>
        <v>0</v>
      </c>
      <c r="BG82" s="14"/>
      <c r="BH82" s="94" t="str">
        <f>IF(SUM(BH83:BH90)&lt;&gt;0,SUM(BH83:BH90),"")</f>
        <v/>
      </c>
      <c r="BJ82" s="94" t="str">
        <f t="shared" ref="BJ82:BJ84" si="180">IF(BF82&lt;&gt;0,(BF82/BD82)-1,"")</f>
        <v/>
      </c>
      <c r="BL82" s="29">
        <f>IF(SUM(BL83:BL91)&lt;&gt;"",SUM(BL83:BL91),"")</f>
        <v>0</v>
      </c>
      <c r="BM82" s="14"/>
      <c r="BN82" s="29">
        <f>IF(SUM(BN83:BN91)&lt;&gt;"",SUM(BN83:BN91),"")</f>
        <v>0</v>
      </c>
      <c r="BO82" s="14"/>
      <c r="BP82" s="94" t="str">
        <f>IF(SUM(BP83:BP90)&lt;&gt;0,SUM(BP83:BP90),"")</f>
        <v/>
      </c>
      <c r="BR82" s="94" t="str">
        <f t="shared" ref="BR82:BR84" si="181">IF(BN82&lt;&gt;0,(BN82/BL82)-1,"")</f>
        <v/>
      </c>
      <c r="BT82" s="29">
        <f>IF(SUM(BT83:BT91)&lt;&gt;"",SUM(BT83:BT91),"")</f>
        <v>0</v>
      </c>
      <c r="BU82" s="14"/>
      <c r="BV82" s="29">
        <f>IF(SUM(BV83:BV91)&lt;&gt;"",SUM(BV83:BV91),"")</f>
        <v>0</v>
      </c>
      <c r="BW82" s="14"/>
      <c r="BX82" s="94" t="str">
        <f>IF(SUM(BX83:BX90)&lt;&gt;0,SUM(BX83:BX90),"")</f>
        <v/>
      </c>
      <c r="BZ82" s="94" t="str">
        <f t="shared" ref="BZ82:BZ84" si="182">IF(BV82&lt;&gt;0,(BV82/BT82)-1,"")</f>
        <v/>
      </c>
      <c r="CB82" s="29">
        <f>IF(SUM(CB83:CB91)&lt;&gt;"",SUM(CB83:CB91),"")</f>
        <v>0</v>
      </c>
      <c r="CC82" s="14"/>
      <c r="CD82" s="29">
        <f>IF(SUM(CD83:CD91)&lt;&gt;"",SUM(CD83:CD91),"")</f>
        <v>0</v>
      </c>
      <c r="CE82" s="14"/>
      <c r="CF82" s="94" t="str">
        <f>IF(SUM(CF83:CF90)&lt;&gt;0,SUM(CF83:CF90),"")</f>
        <v/>
      </c>
      <c r="CH82" s="94" t="str">
        <f t="shared" ref="CH82:CH84" si="183">IF(CD82&lt;&gt;0,(CD82/CB82)-1,"")</f>
        <v/>
      </c>
      <c r="CJ82" s="29">
        <f>IF(SUM(CJ83:CJ91)&lt;&gt;"",SUM(CJ83:CJ91),"")</f>
        <v>0</v>
      </c>
      <c r="CK82" s="14"/>
      <c r="CL82" s="29">
        <f>IF(SUM(CL83:CL91)&lt;&gt;"",SUM(CL83:CL91),"")</f>
        <v>0</v>
      </c>
      <c r="CM82" s="14"/>
      <c r="CN82" s="94" t="str">
        <f>IF(SUM(CN83:CN90)&lt;&gt;0,SUM(CN83:CN90),"")</f>
        <v/>
      </c>
      <c r="CP82" s="94" t="str">
        <f t="shared" ref="CP82:CP84" si="184">IF(CL82&lt;&gt;0,(CL82/CJ82)-1,"")</f>
        <v/>
      </c>
      <c r="CR82" s="29">
        <f>IF(SUM(CR83:CR91)&lt;&gt;"",SUM(CR83:CR91),"")</f>
        <v>0</v>
      </c>
      <c r="CS82" s="14"/>
      <c r="CT82" s="29">
        <f>IF(SUM(CT83:CT91)&lt;&gt;"",SUM(CT83:CT91),"")</f>
        <v>0</v>
      </c>
      <c r="CU82" s="14"/>
      <c r="CV82" s="94" t="str">
        <f>IF(SUM(CV83:CV90)&lt;&gt;0,SUM(CV83:CV90),"")</f>
        <v/>
      </c>
      <c r="CX82" s="94" t="str">
        <f t="shared" ref="CX82:CX84" si="185">IF(CT82&lt;&gt;0,(CT82/CR82)-1,"")</f>
        <v/>
      </c>
    </row>
    <row r="83" spans="2:102" ht="15.6" x14ac:dyDescent="0.3">
      <c r="B83" s="98"/>
      <c r="C83" s="21" t="s">
        <v>102</v>
      </c>
      <c r="D83" s="78" t="e">
        <f t="shared" ref="D83:D88" si="186">IF(AVERAGE(J83,R83,Z83,AH83,AP83,AX83,BF83,BN83,BV83,CD83,CL83,CT83)&lt;&gt;"",AVERAGE(J83,R83,Z83,AH83,AP83,AX83,BF83,BN83,BV83,CD83,CL83,CT83),"")</f>
        <v>#DIV/0!</v>
      </c>
      <c r="E83" s="130">
        <f t="shared" ref="E83:E88" si="187">IF(SUM(J83,R83,Z83,AH83,AP83,AX83,BF83,BN83,BV83,CD83,CL83,CT83)&lt;&gt;"",SUM(J83,R83,Z83,AH83,AP83,AX83,BF83,BN83,BV83,CD83,CL83,CT83),"")</f>
        <v>0</v>
      </c>
      <c r="F83" s="80" t="str">
        <f t="shared" ref="F83:F88" si="188">IF(E83&lt;&gt;0,E83/E$7,"")</f>
        <v/>
      </c>
      <c r="H83" s="35"/>
      <c r="J83" s="147"/>
      <c r="L83" s="28" t="str">
        <f>IF(J83&lt;&gt;"",J83/J$7,"")</f>
        <v/>
      </c>
      <c r="N83" s="90" t="str">
        <f t="shared" ref="N83:N88" si="189">IF(J83&lt;&gt;0,(J83/D83)-1,"")</f>
        <v/>
      </c>
      <c r="P83" s="35"/>
      <c r="Q83" s="14"/>
      <c r="R83" s="147"/>
      <c r="S83" s="14"/>
      <c r="T83" s="28" t="str">
        <f>IF(R83&lt;&gt;"",R83/R$7,"")</f>
        <v/>
      </c>
      <c r="V83" s="90" t="str">
        <f t="shared" si="175"/>
        <v/>
      </c>
      <c r="X83" s="35"/>
      <c r="Y83" s="14"/>
      <c r="Z83" s="147"/>
      <c r="AA83" s="14"/>
      <c r="AB83" s="28" t="str">
        <f>IF(Z83&lt;&gt;"",Z83/Z$7,"")</f>
        <v/>
      </c>
      <c r="AC83" s="14"/>
      <c r="AD83" s="90" t="str">
        <f t="shared" si="176"/>
        <v/>
      </c>
      <c r="AF83" s="35"/>
      <c r="AG83" s="14"/>
      <c r="AH83" s="147"/>
      <c r="AI83" s="14"/>
      <c r="AJ83" s="28" t="str">
        <f>IF(AH83&lt;&gt;"",AH83/AH$7,"")</f>
        <v/>
      </c>
      <c r="AL83" s="90" t="str">
        <f t="shared" si="177"/>
        <v/>
      </c>
      <c r="AN83" s="35"/>
      <c r="AO83" s="14"/>
      <c r="AP83" s="147"/>
      <c r="AQ83" s="14"/>
      <c r="AR83" s="28" t="str">
        <f>IF(AP83&lt;&gt;"",AP83/AP$7,"")</f>
        <v/>
      </c>
      <c r="AT83" s="90" t="str">
        <f t="shared" si="178"/>
        <v/>
      </c>
      <c r="AV83" s="35"/>
      <c r="AW83" s="14"/>
      <c r="AX83" s="147"/>
      <c r="AY83" s="14"/>
      <c r="AZ83" s="28" t="str">
        <f>IF(AX83&lt;&gt;"",AX83/AX$7,"")</f>
        <v/>
      </c>
      <c r="BB83" s="90" t="str">
        <f t="shared" si="179"/>
        <v/>
      </c>
      <c r="BD83" s="35"/>
      <c r="BE83" s="14"/>
      <c r="BF83" s="147"/>
      <c r="BG83" s="14"/>
      <c r="BH83" s="28" t="str">
        <f>IF(BF83&lt;&gt;"",BF83/BF$7,"")</f>
        <v/>
      </c>
      <c r="BJ83" s="90" t="str">
        <f t="shared" si="180"/>
        <v/>
      </c>
      <c r="BL83" s="35"/>
      <c r="BM83" s="14"/>
      <c r="BN83" s="147"/>
      <c r="BO83" s="14"/>
      <c r="BP83" s="28" t="str">
        <f>IF(BN83&lt;&gt;"",BN83/BN$7,"")</f>
        <v/>
      </c>
      <c r="BR83" s="90" t="str">
        <f t="shared" si="181"/>
        <v/>
      </c>
      <c r="BT83" s="35"/>
      <c r="BU83" s="14"/>
      <c r="BV83" s="147"/>
      <c r="BW83" s="14"/>
      <c r="BX83" s="28" t="str">
        <f>IF(BV83&lt;&gt;"",BV83/BV$7,"")</f>
        <v/>
      </c>
      <c r="BZ83" s="90" t="str">
        <f t="shared" si="182"/>
        <v/>
      </c>
      <c r="CB83" s="35"/>
      <c r="CC83" s="14"/>
      <c r="CD83" s="147"/>
      <c r="CE83" s="14"/>
      <c r="CF83" s="28" t="str">
        <f>IF(CD83&lt;&gt;"",CD83/CD$7,"")</f>
        <v/>
      </c>
      <c r="CH83" s="90" t="str">
        <f t="shared" si="183"/>
        <v/>
      </c>
      <c r="CJ83" s="35"/>
      <c r="CK83" s="14"/>
      <c r="CL83" s="147"/>
      <c r="CM83" s="14"/>
      <c r="CN83" s="28" t="str">
        <f>IF(CL83&lt;&gt;"",CL83/CL$7,"")</f>
        <v/>
      </c>
      <c r="CP83" s="90" t="str">
        <f t="shared" si="184"/>
        <v/>
      </c>
      <c r="CR83" s="35"/>
      <c r="CS83" s="14"/>
      <c r="CT83" s="147"/>
      <c r="CU83" s="14"/>
      <c r="CV83" s="28" t="str">
        <f>IF(CT83&lt;&gt;"",CT83/CT$7,"")</f>
        <v/>
      </c>
      <c r="CX83" s="90" t="str">
        <f t="shared" si="185"/>
        <v/>
      </c>
    </row>
    <row r="84" spans="2:102" ht="15.6" x14ac:dyDescent="0.3">
      <c r="B84" s="51"/>
      <c r="C84" s="21" t="s">
        <v>145</v>
      </c>
      <c r="D84" s="70" t="e">
        <f t="shared" si="186"/>
        <v>#DIV/0!</v>
      </c>
      <c r="E84" s="130">
        <f t="shared" si="187"/>
        <v>0</v>
      </c>
      <c r="F84" s="73" t="str">
        <f t="shared" si="188"/>
        <v/>
      </c>
      <c r="H84" s="99"/>
      <c r="J84" s="148"/>
      <c r="L84" s="28" t="str">
        <f>IF(J84&lt;&gt;"",J84/J$7,"")</f>
        <v/>
      </c>
      <c r="N84" s="90" t="str">
        <f t="shared" si="189"/>
        <v/>
      </c>
      <c r="P84" s="99"/>
      <c r="Q84" s="14"/>
      <c r="R84" s="148"/>
      <c r="S84" s="14"/>
      <c r="T84" s="28" t="str">
        <f>IF(R84&lt;&gt;"",R84/R$7,"")</f>
        <v/>
      </c>
      <c r="V84" s="90" t="str">
        <f t="shared" si="175"/>
        <v/>
      </c>
      <c r="X84" s="99"/>
      <c r="Y84" s="14"/>
      <c r="Z84" s="148"/>
      <c r="AA84" s="14"/>
      <c r="AB84" s="28" t="str">
        <f>IF(Z84&lt;&gt;"",Z84/Z$7,"")</f>
        <v/>
      </c>
      <c r="AC84" s="14"/>
      <c r="AD84" s="90" t="str">
        <f t="shared" si="176"/>
        <v/>
      </c>
      <c r="AF84" s="99"/>
      <c r="AG84" s="14"/>
      <c r="AH84" s="148"/>
      <c r="AI84" s="14"/>
      <c r="AJ84" s="28" t="str">
        <f>IF(AH84&lt;&gt;"",AH84/AH$7,"")</f>
        <v/>
      </c>
      <c r="AL84" s="90" t="str">
        <f t="shared" si="177"/>
        <v/>
      </c>
      <c r="AN84" s="99"/>
      <c r="AO84" s="14"/>
      <c r="AP84" s="148"/>
      <c r="AQ84" s="14"/>
      <c r="AR84" s="28" t="str">
        <f>IF(AP84&lt;&gt;"",AP84/AP$7,"")</f>
        <v/>
      </c>
      <c r="AT84" s="90" t="str">
        <f t="shared" si="178"/>
        <v/>
      </c>
      <c r="AV84" s="99"/>
      <c r="AW84" s="14"/>
      <c r="AX84" s="148"/>
      <c r="AY84" s="14"/>
      <c r="AZ84" s="28" t="str">
        <f>IF(AX84&lt;&gt;"",AX84/AX$7,"")</f>
        <v/>
      </c>
      <c r="BB84" s="90" t="str">
        <f t="shared" si="179"/>
        <v/>
      </c>
      <c r="BD84" s="99"/>
      <c r="BE84" s="14"/>
      <c r="BF84" s="148"/>
      <c r="BG84" s="14"/>
      <c r="BH84" s="28" t="str">
        <f>IF(BF84&lt;&gt;"",BF84/BF$7,"")</f>
        <v/>
      </c>
      <c r="BJ84" s="90" t="str">
        <f t="shared" si="180"/>
        <v/>
      </c>
      <c r="BL84" s="99"/>
      <c r="BM84" s="14"/>
      <c r="BN84" s="148"/>
      <c r="BO84" s="14"/>
      <c r="BP84" s="28" t="str">
        <f>IF(BN84&lt;&gt;"",BN84/BN$7,"")</f>
        <v/>
      </c>
      <c r="BR84" s="90" t="str">
        <f t="shared" si="181"/>
        <v/>
      </c>
      <c r="BT84" s="99"/>
      <c r="BU84" s="14"/>
      <c r="BV84" s="148"/>
      <c r="BW84" s="14"/>
      <c r="BX84" s="28" t="str">
        <f>IF(BV84&lt;&gt;"",BV84/BV$7,"")</f>
        <v/>
      </c>
      <c r="BZ84" s="90" t="str">
        <f t="shared" si="182"/>
        <v/>
      </c>
      <c r="CB84" s="99"/>
      <c r="CC84" s="14"/>
      <c r="CD84" s="148"/>
      <c r="CE84" s="14"/>
      <c r="CF84" s="28" t="str">
        <f>IF(CD84&lt;&gt;"",CD84/CD$7,"")</f>
        <v/>
      </c>
      <c r="CH84" s="90" t="str">
        <f t="shared" si="183"/>
        <v/>
      </c>
      <c r="CJ84" s="99"/>
      <c r="CK84" s="14"/>
      <c r="CL84" s="148"/>
      <c r="CM84" s="14"/>
      <c r="CN84" s="28" t="str">
        <f>IF(CL84&lt;&gt;"",CL84/CL$7,"")</f>
        <v/>
      </c>
      <c r="CP84" s="90" t="str">
        <f t="shared" si="184"/>
        <v/>
      </c>
      <c r="CR84" s="99"/>
      <c r="CS84" s="14"/>
      <c r="CT84" s="148"/>
      <c r="CU84" s="14"/>
      <c r="CV84" s="28" t="str">
        <f>IF(CT84&lt;&gt;"",CT84/CT$7,"")</f>
        <v/>
      </c>
      <c r="CX84" s="90" t="str">
        <f t="shared" si="185"/>
        <v/>
      </c>
    </row>
    <row r="85" spans="2:102" ht="15.6" x14ac:dyDescent="0.3">
      <c r="B85" s="51"/>
      <c r="C85" s="21" t="s">
        <v>107</v>
      </c>
      <c r="D85" s="70" t="e">
        <f t="shared" si="186"/>
        <v>#DIV/0!</v>
      </c>
      <c r="E85" s="130">
        <f t="shared" si="187"/>
        <v>0</v>
      </c>
      <c r="F85" s="73" t="str">
        <f t="shared" si="188"/>
        <v/>
      </c>
      <c r="H85" s="99"/>
      <c r="J85" s="148"/>
      <c r="L85" s="28" t="str">
        <f t="shared" ref="L85:L88" si="190">IF(J85&lt;&gt;"",J85/J$7,"")</f>
        <v/>
      </c>
      <c r="N85" s="90" t="str">
        <f t="shared" si="189"/>
        <v/>
      </c>
      <c r="P85" s="99"/>
      <c r="Q85" s="14"/>
      <c r="R85" s="148"/>
      <c r="S85" s="14"/>
      <c r="T85" s="28" t="str">
        <f t="shared" ref="T85:T88" si="191">IF(R85&lt;&gt;"",R85/R$7,"")</f>
        <v/>
      </c>
      <c r="V85" s="90"/>
      <c r="X85" s="99"/>
      <c r="Y85" s="14"/>
      <c r="Z85" s="148"/>
      <c r="AA85" s="14"/>
      <c r="AB85" s="28" t="str">
        <f t="shared" ref="AB85:AB88" si="192">IF(Z85&lt;&gt;"",Z85/Z$7,"")</f>
        <v/>
      </c>
      <c r="AC85" s="14"/>
      <c r="AD85" s="90"/>
      <c r="AF85" s="99"/>
      <c r="AG85" s="14"/>
      <c r="AH85" s="148"/>
      <c r="AI85" s="14"/>
      <c r="AJ85" s="28" t="str">
        <f t="shared" ref="AJ85:AJ88" si="193">IF(AH85&lt;&gt;"",AH85/AH$7,"")</f>
        <v/>
      </c>
      <c r="AL85" s="90"/>
      <c r="AN85" s="99"/>
      <c r="AO85" s="14"/>
      <c r="AP85" s="148"/>
      <c r="AQ85" s="14"/>
      <c r="AR85" s="28" t="str">
        <f t="shared" ref="AR85:AR88" si="194">IF(AP85&lt;&gt;"",AP85/AP$7,"")</f>
        <v/>
      </c>
      <c r="AT85" s="90"/>
      <c r="AV85" s="99"/>
      <c r="AW85" s="14"/>
      <c r="AX85" s="148"/>
      <c r="AY85" s="14"/>
      <c r="AZ85" s="28" t="str">
        <f t="shared" ref="AZ85:AZ88" si="195">IF(AX85&lt;&gt;"",AX85/AX$7,"")</f>
        <v/>
      </c>
      <c r="BB85" s="90"/>
      <c r="BD85" s="99"/>
      <c r="BE85" s="14"/>
      <c r="BF85" s="148"/>
      <c r="BG85" s="14"/>
      <c r="BH85" s="28" t="str">
        <f t="shared" ref="BH85:BH88" si="196">IF(BF85&lt;&gt;"",BF85/BF$7,"")</f>
        <v/>
      </c>
      <c r="BJ85" s="90"/>
      <c r="BL85" s="99"/>
      <c r="BM85" s="14"/>
      <c r="BN85" s="148"/>
      <c r="BO85" s="14"/>
      <c r="BP85" s="28" t="str">
        <f t="shared" ref="BP85:BP88" si="197">IF(BN85&lt;&gt;"",BN85/BN$7,"")</f>
        <v/>
      </c>
      <c r="BR85" s="90"/>
      <c r="BT85" s="99"/>
      <c r="BU85" s="14"/>
      <c r="BV85" s="148"/>
      <c r="BW85" s="14"/>
      <c r="BX85" s="28" t="str">
        <f t="shared" ref="BX85:BX88" si="198">IF(BV85&lt;&gt;"",BV85/BV$7,"")</f>
        <v/>
      </c>
      <c r="BZ85" s="90"/>
      <c r="CB85" s="99"/>
      <c r="CC85" s="14"/>
      <c r="CD85" s="148"/>
      <c r="CE85" s="14"/>
      <c r="CF85" s="28" t="str">
        <f t="shared" ref="CF85:CF88" si="199">IF(CD85&lt;&gt;"",CD85/CD$7,"")</f>
        <v/>
      </c>
      <c r="CH85" s="90"/>
      <c r="CJ85" s="99"/>
      <c r="CK85" s="14"/>
      <c r="CL85" s="148"/>
      <c r="CM85" s="14"/>
      <c r="CN85" s="28" t="str">
        <f t="shared" ref="CN85:CN88" si="200">IF(CL85&lt;&gt;"",CL85/CL$7,"")</f>
        <v/>
      </c>
      <c r="CP85" s="90"/>
      <c r="CR85" s="99"/>
      <c r="CS85" s="14"/>
      <c r="CT85" s="148"/>
      <c r="CU85" s="14"/>
      <c r="CV85" s="28" t="str">
        <f t="shared" ref="CV85:CV88" si="201">IF(CT85&lt;&gt;"",CT85/CT$7,"")</f>
        <v/>
      </c>
      <c r="CX85" s="90"/>
    </row>
    <row r="86" spans="2:102" ht="15.6" x14ac:dyDescent="0.3">
      <c r="B86" s="51"/>
      <c r="C86" s="21" t="s">
        <v>146</v>
      </c>
      <c r="D86" s="70" t="e">
        <f t="shared" si="186"/>
        <v>#DIV/0!</v>
      </c>
      <c r="E86" s="130">
        <f t="shared" si="187"/>
        <v>0</v>
      </c>
      <c r="F86" s="73" t="str">
        <f t="shared" si="188"/>
        <v/>
      </c>
      <c r="H86" s="99"/>
      <c r="J86" s="148"/>
      <c r="L86" s="28" t="str">
        <f t="shared" si="190"/>
        <v/>
      </c>
      <c r="N86" s="90" t="str">
        <f t="shared" si="189"/>
        <v/>
      </c>
      <c r="P86" s="99"/>
      <c r="Q86" s="14"/>
      <c r="R86" s="148"/>
      <c r="S86" s="14"/>
      <c r="T86" s="28" t="str">
        <f t="shared" si="191"/>
        <v/>
      </c>
      <c r="V86" s="90"/>
      <c r="X86" s="99"/>
      <c r="Y86" s="14"/>
      <c r="Z86" s="148"/>
      <c r="AA86" s="14"/>
      <c r="AB86" s="28" t="str">
        <f t="shared" si="192"/>
        <v/>
      </c>
      <c r="AC86" s="14"/>
      <c r="AD86" s="90"/>
      <c r="AF86" s="99"/>
      <c r="AG86" s="14"/>
      <c r="AH86" s="148"/>
      <c r="AI86" s="14"/>
      <c r="AJ86" s="28" t="str">
        <f t="shared" si="193"/>
        <v/>
      </c>
      <c r="AL86" s="90"/>
      <c r="AN86" s="99"/>
      <c r="AO86" s="14"/>
      <c r="AP86" s="148"/>
      <c r="AQ86" s="14"/>
      <c r="AR86" s="28" t="str">
        <f t="shared" si="194"/>
        <v/>
      </c>
      <c r="AT86" s="90"/>
      <c r="AV86" s="99"/>
      <c r="AW86" s="14"/>
      <c r="AX86" s="148"/>
      <c r="AY86" s="14"/>
      <c r="AZ86" s="28" t="str">
        <f t="shared" si="195"/>
        <v/>
      </c>
      <c r="BB86" s="90"/>
      <c r="BD86" s="99"/>
      <c r="BE86" s="14"/>
      <c r="BF86" s="148"/>
      <c r="BG86" s="14"/>
      <c r="BH86" s="28" t="str">
        <f t="shared" si="196"/>
        <v/>
      </c>
      <c r="BJ86" s="90"/>
      <c r="BL86" s="99"/>
      <c r="BM86" s="14"/>
      <c r="BN86" s="148"/>
      <c r="BO86" s="14"/>
      <c r="BP86" s="28" t="str">
        <f t="shared" si="197"/>
        <v/>
      </c>
      <c r="BR86" s="90"/>
      <c r="BT86" s="99"/>
      <c r="BU86" s="14"/>
      <c r="BV86" s="148"/>
      <c r="BW86" s="14"/>
      <c r="BX86" s="28" t="str">
        <f t="shared" si="198"/>
        <v/>
      </c>
      <c r="BZ86" s="90"/>
      <c r="CB86" s="99"/>
      <c r="CC86" s="14"/>
      <c r="CD86" s="148"/>
      <c r="CE86" s="14"/>
      <c r="CF86" s="28" t="str">
        <f t="shared" si="199"/>
        <v/>
      </c>
      <c r="CH86" s="90"/>
      <c r="CJ86" s="99"/>
      <c r="CK86" s="14"/>
      <c r="CL86" s="148"/>
      <c r="CM86" s="14"/>
      <c r="CN86" s="28" t="str">
        <f t="shared" si="200"/>
        <v/>
      </c>
      <c r="CP86" s="90"/>
      <c r="CR86" s="99"/>
      <c r="CS86" s="14"/>
      <c r="CT86" s="148"/>
      <c r="CU86" s="14"/>
      <c r="CV86" s="28" t="str">
        <f t="shared" si="201"/>
        <v/>
      </c>
      <c r="CX86" s="90"/>
    </row>
    <row r="87" spans="2:102" ht="15.6" x14ac:dyDescent="0.3">
      <c r="B87" s="51"/>
      <c r="C87" s="21" t="s">
        <v>115</v>
      </c>
      <c r="D87" s="70" t="e">
        <f t="shared" si="186"/>
        <v>#DIV/0!</v>
      </c>
      <c r="E87" s="130">
        <f t="shared" si="187"/>
        <v>0</v>
      </c>
      <c r="F87" s="73" t="str">
        <f t="shared" si="188"/>
        <v/>
      </c>
      <c r="H87" s="99"/>
      <c r="J87" s="148"/>
      <c r="L87" s="28" t="str">
        <f t="shared" si="190"/>
        <v/>
      </c>
      <c r="N87" s="90" t="str">
        <f t="shared" si="189"/>
        <v/>
      </c>
      <c r="P87" s="99"/>
      <c r="Q87" s="14"/>
      <c r="R87" s="148"/>
      <c r="S87" s="14"/>
      <c r="T87" s="28" t="str">
        <f t="shared" si="191"/>
        <v/>
      </c>
      <c r="V87" s="90"/>
      <c r="X87" s="99"/>
      <c r="Y87" s="14"/>
      <c r="Z87" s="148"/>
      <c r="AA87" s="14"/>
      <c r="AB87" s="28" t="str">
        <f t="shared" si="192"/>
        <v/>
      </c>
      <c r="AC87" s="14"/>
      <c r="AD87" s="90"/>
      <c r="AF87" s="99"/>
      <c r="AG87" s="14"/>
      <c r="AH87" s="148"/>
      <c r="AI87" s="14"/>
      <c r="AJ87" s="28" t="str">
        <f t="shared" si="193"/>
        <v/>
      </c>
      <c r="AL87" s="90"/>
      <c r="AN87" s="99"/>
      <c r="AO87" s="14"/>
      <c r="AP87" s="148"/>
      <c r="AQ87" s="14"/>
      <c r="AR87" s="28" t="str">
        <f t="shared" si="194"/>
        <v/>
      </c>
      <c r="AT87" s="90"/>
      <c r="AV87" s="99"/>
      <c r="AW87" s="14"/>
      <c r="AX87" s="148"/>
      <c r="AY87" s="14"/>
      <c r="AZ87" s="28" t="str">
        <f t="shared" si="195"/>
        <v/>
      </c>
      <c r="BB87" s="90"/>
      <c r="BD87" s="99"/>
      <c r="BE87" s="14"/>
      <c r="BF87" s="148"/>
      <c r="BG87" s="14"/>
      <c r="BH87" s="28" t="str">
        <f t="shared" si="196"/>
        <v/>
      </c>
      <c r="BJ87" s="90"/>
      <c r="BL87" s="99"/>
      <c r="BM87" s="14"/>
      <c r="BN87" s="148"/>
      <c r="BO87" s="14"/>
      <c r="BP87" s="28" t="str">
        <f t="shared" si="197"/>
        <v/>
      </c>
      <c r="BR87" s="90"/>
      <c r="BT87" s="99"/>
      <c r="BU87" s="14"/>
      <c r="BV87" s="148"/>
      <c r="BW87" s="14"/>
      <c r="BX87" s="28" t="str">
        <f t="shared" si="198"/>
        <v/>
      </c>
      <c r="BZ87" s="90"/>
      <c r="CB87" s="99"/>
      <c r="CC87" s="14"/>
      <c r="CD87" s="148"/>
      <c r="CE87" s="14"/>
      <c r="CF87" s="28" t="str">
        <f t="shared" si="199"/>
        <v/>
      </c>
      <c r="CH87" s="90"/>
      <c r="CJ87" s="99"/>
      <c r="CK87" s="14"/>
      <c r="CL87" s="148"/>
      <c r="CM87" s="14"/>
      <c r="CN87" s="28" t="str">
        <f t="shared" si="200"/>
        <v/>
      </c>
      <c r="CP87" s="90"/>
      <c r="CR87" s="99"/>
      <c r="CS87" s="14"/>
      <c r="CT87" s="148"/>
      <c r="CU87" s="14"/>
      <c r="CV87" s="28" t="str">
        <f t="shared" si="201"/>
        <v/>
      </c>
      <c r="CX87" s="90"/>
    </row>
    <row r="88" spans="2:102" ht="15.6" x14ac:dyDescent="0.3">
      <c r="B88" s="51"/>
      <c r="C88" s="21" t="s">
        <v>147</v>
      </c>
      <c r="D88" s="70" t="e">
        <f t="shared" si="186"/>
        <v>#DIV/0!</v>
      </c>
      <c r="E88" s="130">
        <f t="shared" si="187"/>
        <v>0</v>
      </c>
      <c r="F88" s="73" t="str">
        <f t="shared" si="188"/>
        <v/>
      </c>
      <c r="H88" s="99"/>
      <c r="J88" s="148"/>
      <c r="L88" s="28" t="str">
        <f t="shared" si="190"/>
        <v/>
      </c>
      <c r="N88" s="90" t="str">
        <f t="shared" si="189"/>
        <v/>
      </c>
      <c r="P88" s="99"/>
      <c r="Q88" s="14"/>
      <c r="R88" s="148"/>
      <c r="S88" s="14"/>
      <c r="T88" s="28" t="str">
        <f t="shared" si="191"/>
        <v/>
      </c>
      <c r="V88" s="90"/>
      <c r="X88" s="99"/>
      <c r="Y88" s="14"/>
      <c r="Z88" s="148"/>
      <c r="AA88" s="14"/>
      <c r="AB88" s="28" t="str">
        <f t="shared" si="192"/>
        <v/>
      </c>
      <c r="AC88" s="14"/>
      <c r="AD88" s="90"/>
      <c r="AF88" s="99"/>
      <c r="AG88" s="14"/>
      <c r="AH88" s="148"/>
      <c r="AI88" s="14"/>
      <c r="AJ88" s="28" t="str">
        <f t="shared" si="193"/>
        <v/>
      </c>
      <c r="AL88" s="90"/>
      <c r="AN88" s="99"/>
      <c r="AO88" s="14"/>
      <c r="AP88" s="148"/>
      <c r="AQ88" s="14"/>
      <c r="AR88" s="28" t="str">
        <f t="shared" si="194"/>
        <v/>
      </c>
      <c r="AT88" s="90"/>
      <c r="AV88" s="99"/>
      <c r="AW88" s="14"/>
      <c r="AX88" s="148"/>
      <c r="AY88" s="14"/>
      <c r="AZ88" s="28" t="str">
        <f t="shared" si="195"/>
        <v/>
      </c>
      <c r="BB88" s="90"/>
      <c r="BD88" s="99"/>
      <c r="BE88" s="14"/>
      <c r="BF88" s="148"/>
      <c r="BG88" s="14"/>
      <c r="BH88" s="28" t="str">
        <f t="shared" si="196"/>
        <v/>
      </c>
      <c r="BJ88" s="90"/>
      <c r="BL88" s="99"/>
      <c r="BM88" s="14"/>
      <c r="BN88" s="148"/>
      <c r="BO88" s="14"/>
      <c r="BP88" s="28" t="str">
        <f t="shared" si="197"/>
        <v/>
      </c>
      <c r="BR88" s="90"/>
      <c r="BT88" s="99"/>
      <c r="BU88" s="14"/>
      <c r="BV88" s="148"/>
      <c r="BW88" s="14"/>
      <c r="BX88" s="28" t="str">
        <f t="shared" si="198"/>
        <v/>
      </c>
      <c r="BZ88" s="90"/>
      <c r="CB88" s="99"/>
      <c r="CC88" s="14"/>
      <c r="CD88" s="148"/>
      <c r="CE88" s="14"/>
      <c r="CF88" s="28" t="str">
        <f t="shared" si="199"/>
        <v/>
      </c>
      <c r="CH88" s="90"/>
      <c r="CJ88" s="99"/>
      <c r="CK88" s="14"/>
      <c r="CL88" s="148"/>
      <c r="CM88" s="14"/>
      <c r="CN88" s="28" t="str">
        <f t="shared" si="200"/>
        <v/>
      </c>
      <c r="CP88" s="90"/>
      <c r="CR88" s="99"/>
      <c r="CS88" s="14"/>
      <c r="CT88" s="148"/>
      <c r="CU88" s="14"/>
      <c r="CV88" s="28" t="str">
        <f t="shared" si="201"/>
        <v/>
      </c>
      <c r="CX88" s="90"/>
    </row>
    <row r="89" spans="2:102" ht="15.6" x14ac:dyDescent="0.3">
      <c r="B89" s="51"/>
      <c r="C89" s="21"/>
      <c r="D89" s="70"/>
      <c r="E89" s="130"/>
      <c r="F89" s="73"/>
      <c r="H89" s="99"/>
      <c r="J89" s="148"/>
      <c r="L89" s="28"/>
      <c r="N89" s="90"/>
      <c r="P89" s="99"/>
      <c r="Q89" s="14"/>
      <c r="R89" s="148"/>
      <c r="S89" s="14"/>
      <c r="T89" s="28"/>
      <c r="V89" s="90"/>
      <c r="X89" s="99"/>
      <c r="Y89" s="14"/>
      <c r="Z89" s="148"/>
      <c r="AA89" s="14"/>
      <c r="AB89" s="28"/>
      <c r="AC89" s="14"/>
      <c r="AD89" s="90"/>
      <c r="AF89" s="99"/>
      <c r="AG89" s="14"/>
      <c r="AH89" s="148"/>
      <c r="AI89" s="14"/>
      <c r="AJ89" s="28"/>
      <c r="AL89" s="90"/>
      <c r="AN89" s="99"/>
      <c r="AO89" s="14"/>
      <c r="AP89" s="148"/>
      <c r="AQ89" s="14"/>
      <c r="AR89" s="28"/>
      <c r="AT89" s="90"/>
      <c r="AV89" s="99"/>
      <c r="AW89" s="14"/>
      <c r="AX89" s="148"/>
      <c r="AY89" s="14"/>
      <c r="AZ89" s="28"/>
      <c r="BB89" s="90"/>
      <c r="BD89" s="99"/>
      <c r="BE89" s="14"/>
      <c r="BF89" s="148"/>
      <c r="BG89" s="14"/>
      <c r="BH89" s="28"/>
      <c r="BJ89" s="90"/>
      <c r="BL89" s="99"/>
      <c r="BM89" s="14"/>
      <c r="BN89" s="148"/>
      <c r="BO89" s="14"/>
      <c r="BP89" s="28"/>
      <c r="BR89" s="90"/>
      <c r="BT89" s="99"/>
      <c r="BU89" s="14"/>
      <c r="BV89" s="148"/>
      <c r="BW89" s="14"/>
      <c r="BX89" s="28"/>
      <c r="BZ89" s="90"/>
      <c r="CB89" s="99"/>
      <c r="CC89" s="14"/>
      <c r="CD89" s="148"/>
      <c r="CE89" s="14"/>
      <c r="CF89" s="28"/>
      <c r="CH89" s="90"/>
      <c r="CJ89" s="99"/>
      <c r="CK89" s="14"/>
      <c r="CL89" s="148"/>
      <c r="CM89" s="14"/>
      <c r="CN89" s="28"/>
      <c r="CP89" s="90"/>
      <c r="CR89" s="99"/>
      <c r="CS89" s="14"/>
      <c r="CT89" s="148"/>
      <c r="CU89" s="14"/>
      <c r="CV89" s="28"/>
      <c r="CX89" s="90"/>
    </row>
    <row r="90" spans="2:102" ht="15.6" x14ac:dyDescent="0.3">
      <c r="B90" s="51"/>
      <c r="C90" s="21"/>
      <c r="D90" s="70"/>
      <c r="E90" s="130"/>
      <c r="F90" s="73"/>
      <c r="H90" s="99"/>
      <c r="J90" s="148"/>
      <c r="L90" s="28"/>
      <c r="N90" s="90"/>
      <c r="P90" s="99"/>
      <c r="Q90" s="14"/>
      <c r="R90" s="148"/>
      <c r="S90" s="14"/>
      <c r="T90" s="28"/>
      <c r="V90" s="90"/>
      <c r="X90" s="99"/>
      <c r="Y90" s="14"/>
      <c r="Z90" s="148"/>
      <c r="AA90" s="14"/>
      <c r="AB90" s="28"/>
      <c r="AC90" s="14"/>
      <c r="AD90" s="90"/>
      <c r="AF90" s="99"/>
      <c r="AG90" s="14"/>
      <c r="AH90" s="148"/>
      <c r="AI90" s="14"/>
      <c r="AJ90" s="28"/>
      <c r="AL90" s="90"/>
      <c r="AN90" s="99"/>
      <c r="AO90" s="14"/>
      <c r="AP90" s="148"/>
      <c r="AQ90" s="14"/>
      <c r="AR90" s="28"/>
      <c r="AT90" s="90"/>
      <c r="AV90" s="99"/>
      <c r="AW90" s="14"/>
      <c r="AX90" s="148"/>
      <c r="AY90" s="14"/>
      <c r="AZ90" s="28"/>
      <c r="BB90" s="90"/>
      <c r="BD90" s="99"/>
      <c r="BE90" s="14"/>
      <c r="BF90" s="148"/>
      <c r="BG90" s="14"/>
      <c r="BH90" s="28"/>
      <c r="BJ90" s="90"/>
      <c r="BL90" s="99"/>
      <c r="BM90" s="14"/>
      <c r="BN90" s="148"/>
      <c r="BO90" s="14"/>
      <c r="BP90" s="28"/>
      <c r="BR90" s="90"/>
      <c r="BT90" s="99"/>
      <c r="BU90" s="14"/>
      <c r="BV90" s="148"/>
      <c r="BW90" s="14"/>
      <c r="BX90" s="28"/>
      <c r="BZ90" s="90"/>
      <c r="CB90" s="99"/>
      <c r="CC90" s="14"/>
      <c r="CD90" s="148"/>
      <c r="CE90" s="14"/>
      <c r="CF90" s="28"/>
      <c r="CH90" s="90"/>
      <c r="CJ90" s="99"/>
      <c r="CK90" s="14"/>
      <c r="CL90" s="148"/>
      <c r="CM90" s="14"/>
      <c r="CN90" s="28"/>
      <c r="CP90" s="90"/>
      <c r="CR90" s="99"/>
      <c r="CS90" s="14"/>
      <c r="CT90" s="148"/>
      <c r="CU90" s="14"/>
      <c r="CV90" s="28"/>
      <c r="CX90" s="90"/>
    </row>
    <row r="91" spans="2:102" ht="16.2" thickBot="1" x14ac:dyDescent="0.35">
      <c r="B91" s="52"/>
      <c r="C91" s="62"/>
      <c r="D91" s="71"/>
      <c r="E91" s="133"/>
      <c r="F91" s="81"/>
      <c r="H91" s="64"/>
      <c r="J91" s="149"/>
      <c r="L91" s="65"/>
      <c r="N91" s="90"/>
      <c r="P91" s="64"/>
      <c r="Q91" s="14"/>
      <c r="R91" s="149"/>
      <c r="S91" s="14"/>
      <c r="T91" s="65"/>
      <c r="V91" s="97"/>
      <c r="X91" s="64"/>
      <c r="Y91" s="14"/>
      <c r="Z91" s="149"/>
      <c r="AA91" s="14"/>
      <c r="AB91" s="65"/>
      <c r="AC91" s="14"/>
      <c r="AD91" s="97"/>
      <c r="AF91" s="64"/>
      <c r="AG91" s="14"/>
      <c r="AH91" s="149"/>
      <c r="AI91" s="14"/>
      <c r="AJ91" s="65"/>
      <c r="AL91" s="97"/>
      <c r="AN91" s="64"/>
      <c r="AO91" s="14"/>
      <c r="AP91" s="149"/>
      <c r="AQ91" s="14"/>
      <c r="AR91" s="65"/>
      <c r="AT91" s="90"/>
      <c r="AV91" s="64"/>
      <c r="AW91" s="14"/>
      <c r="AX91" s="149"/>
      <c r="AY91" s="14"/>
      <c r="AZ91" s="65"/>
      <c r="BB91" s="90"/>
      <c r="BD91" s="64"/>
      <c r="BE91" s="14"/>
      <c r="BF91" s="149"/>
      <c r="BG91" s="14"/>
      <c r="BH91" s="65"/>
      <c r="BJ91" s="90"/>
      <c r="BL91" s="64"/>
      <c r="BM91" s="14"/>
      <c r="BN91" s="149"/>
      <c r="BO91" s="14"/>
      <c r="BP91" s="65"/>
      <c r="BR91" s="90"/>
      <c r="BT91" s="64"/>
      <c r="BU91" s="14"/>
      <c r="BV91" s="149"/>
      <c r="BW91" s="14"/>
      <c r="BX91" s="65"/>
      <c r="BZ91" s="90"/>
      <c r="CB91" s="64"/>
      <c r="CC91" s="14"/>
      <c r="CD91" s="149"/>
      <c r="CE91" s="14"/>
      <c r="CF91" s="65"/>
      <c r="CH91" s="90"/>
      <c r="CJ91" s="64"/>
      <c r="CK91" s="14"/>
      <c r="CL91" s="149"/>
      <c r="CM91" s="14"/>
      <c r="CN91" s="65"/>
      <c r="CP91" s="90"/>
      <c r="CR91" s="64"/>
      <c r="CS91" s="14"/>
      <c r="CT91" s="149"/>
      <c r="CU91" s="14"/>
      <c r="CV91" s="65"/>
      <c r="CX91" s="90"/>
    </row>
    <row r="92" spans="2:102" ht="9" customHeight="1" thickBot="1" x14ac:dyDescent="0.35">
      <c r="C92" s="39"/>
      <c r="F92" s="17"/>
      <c r="H92" s="36"/>
      <c r="J92" s="36"/>
      <c r="L92" s="31"/>
      <c r="N92" s="31"/>
      <c r="P92" s="36"/>
      <c r="Q92" s="14"/>
      <c r="R92" s="36"/>
      <c r="S92" s="14"/>
      <c r="T92" s="31"/>
      <c r="V92" s="31"/>
      <c r="X92" s="36"/>
      <c r="Y92" s="14"/>
      <c r="Z92" s="36"/>
      <c r="AA92" s="14"/>
      <c r="AB92" s="31"/>
      <c r="AC92" s="14"/>
      <c r="AD92" s="31"/>
      <c r="AF92" s="36"/>
      <c r="AG92" s="14"/>
      <c r="AH92" s="36"/>
      <c r="AI92" s="14"/>
      <c r="AJ92" s="31"/>
      <c r="AL92" s="31"/>
      <c r="AN92" s="36"/>
      <c r="AO92" s="14"/>
      <c r="AP92" s="36"/>
      <c r="AQ92" s="14"/>
      <c r="AR92" s="31"/>
      <c r="AT92" s="31"/>
      <c r="AV92" s="36"/>
      <c r="AW92" s="14"/>
      <c r="AX92" s="36"/>
      <c r="AY92" s="14"/>
      <c r="AZ92" s="31"/>
      <c r="BB92" s="31"/>
      <c r="BD92" s="36"/>
      <c r="BE92" s="14"/>
      <c r="BF92" s="36"/>
      <c r="BG92" s="14"/>
      <c r="BH92" s="31"/>
      <c r="BJ92" s="31"/>
      <c r="BL92" s="36"/>
      <c r="BM92" s="14"/>
      <c r="BN92" s="36"/>
      <c r="BO92" s="14"/>
      <c r="BP92" s="31"/>
      <c r="BR92" s="31"/>
      <c r="BT92" s="36"/>
      <c r="BU92" s="14"/>
      <c r="BV92" s="36"/>
      <c r="BW92" s="14"/>
      <c r="BX92" s="31"/>
      <c r="BZ92" s="31"/>
      <c r="CB92" s="36"/>
      <c r="CC92" s="14"/>
      <c r="CD92" s="36"/>
      <c r="CE92" s="14"/>
      <c r="CF92" s="31"/>
      <c r="CH92" s="31"/>
      <c r="CJ92" s="36"/>
      <c r="CK92" s="14"/>
      <c r="CL92" s="36"/>
      <c r="CM92" s="14"/>
      <c r="CN92" s="31"/>
      <c r="CP92" s="31"/>
      <c r="CR92" s="36"/>
      <c r="CS92" s="14"/>
      <c r="CT92" s="36"/>
      <c r="CU92" s="14"/>
      <c r="CV92" s="31"/>
      <c r="CX92" s="31"/>
    </row>
    <row r="93" spans="2:102" ht="16.2" thickBot="1" x14ac:dyDescent="0.35">
      <c r="B93" s="208" t="s">
        <v>138</v>
      </c>
      <c r="C93" s="209"/>
      <c r="D93" s="29" t="e">
        <f t="shared" ref="D93:F93" si="202">IF(SUM(D94:D101)&lt;&gt;"",SUM(D94:D101),"")</f>
        <v>#DIV/0!</v>
      </c>
      <c r="E93" s="127">
        <f t="shared" si="202"/>
        <v>0</v>
      </c>
      <c r="F93" s="76">
        <f t="shared" si="202"/>
        <v>0</v>
      </c>
      <c r="H93" s="29">
        <f>IF(SUM(H94:H101)&lt;&gt;"",SUM(H94:H101),"")</f>
        <v>0</v>
      </c>
      <c r="J93" s="29">
        <f>IF(SUM(J94:J101)&lt;&gt;"",SUM(J94:J101),"")</f>
        <v>0</v>
      </c>
      <c r="L93" s="94" t="str">
        <f>IF(SUM(L94:L100)&lt;&gt;0,SUM(L94:L100),"")</f>
        <v/>
      </c>
      <c r="N93" s="30" t="e">
        <f>IF(J93&lt;&gt;"",(J93/$D93)-1,"")</f>
        <v>#DIV/0!</v>
      </c>
      <c r="P93" s="29">
        <f>IF(SUM(P94:P101)&lt;&gt;"",SUM(P94:P101),"")</f>
        <v>0</v>
      </c>
      <c r="Q93" s="14"/>
      <c r="R93" s="29">
        <f>IF(SUM(R94:R101)&lt;&gt;"",SUM(R94:R101),"")</f>
        <v>0</v>
      </c>
      <c r="S93" s="14"/>
      <c r="T93" s="94" t="str">
        <f>IF(SUM(T94:T100)&lt;&gt;0,SUM(T94:T100),"")</f>
        <v/>
      </c>
      <c r="V93" s="94" t="str">
        <f t="shared" ref="V93:V99" si="203">IF(R93&lt;&gt;0,(R93/P93)-1,"")</f>
        <v/>
      </c>
      <c r="X93" s="29">
        <f>IF(SUM(X94:X101)&lt;&gt;"",SUM(X94:X101),"")</f>
        <v>0</v>
      </c>
      <c r="Y93" s="14"/>
      <c r="Z93" s="29">
        <f>IF(SUM(Z94:Z101)&lt;&gt;"",SUM(Z94:Z101),"")</f>
        <v>0</v>
      </c>
      <c r="AA93" s="14"/>
      <c r="AB93" s="94" t="str">
        <f>IF(SUM(AB94:AB100)&lt;&gt;0,SUM(AB94:AB100),"")</f>
        <v/>
      </c>
      <c r="AC93" s="14"/>
      <c r="AD93" s="94" t="str">
        <f t="shared" ref="AD93:AD99" si="204">IF(Z93&lt;&gt;0,(Z93/X93)-1,"")</f>
        <v/>
      </c>
      <c r="AF93" s="29">
        <f>IF(SUM(AF94:AF101)&lt;&gt;"",SUM(AF94:AF101),"")</f>
        <v>0</v>
      </c>
      <c r="AG93" s="14"/>
      <c r="AH93" s="29">
        <f>IF(SUM(AH94:AH101)&lt;&gt;"",SUM(AH94:AH101),"")</f>
        <v>0</v>
      </c>
      <c r="AI93" s="14"/>
      <c r="AJ93" s="94" t="str">
        <f>IF(SUM(AJ94:AJ100)&lt;&gt;0,SUM(AJ94:AJ100),"")</f>
        <v/>
      </c>
      <c r="AL93" s="94" t="str">
        <f t="shared" ref="AL93:AL99" si="205">IF(AH93&lt;&gt;0,(AH93/AF93)-1,"")</f>
        <v/>
      </c>
      <c r="AN93" s="29">
        <f>IF(SUM(AN94:AN101)&lt;&gt;"",SUM(AN94:AN101),"")</f>
        <v>0</v>
      </c>
      <c r="AO93" s="14"/>
      <c r="AP93" s="29">
        <f>IF(SUM(AP94:AP101)&lt;&gt;"",SUM(AP94:AP101),"")</f>
        <v>0</v>
      </c>
      <c r="AQ93" s="14"/>
      <c r="AR93" s="94" t="str">
        <f>IF(SUM(AR94:AR100)&lt;&gt;0,SUM(AR94:AR100),"")</f>
        <v/>
      </c>
      <c r="AT93" s="94" t="str">
        <f t="shared" ref="AT93:AT99" si="206">IF(AP93&lt;&gt;0,(AP93/AN93)-1,"")</f>
        <v/>
      </c>
      <c r="AV93" s="29">
        <f>IF(SUM(AV94:AV101)&lt;&gt;"",SUM(AV94:AV101),"")</f>
        <v>0</v>
      </c>
      <c r="AW93" s="14"/>
      <c r="AX93" s="29">
        <f>IF(SUM(AX94:AX101)&lt;&gt;"",SUM(AX94:AX101),"")</f>
        <v>0</v>
      </c>
      <c r="AY93" s="14"/>
      <c r="AZ93" s="94" t="str">
        <f>IF(SUM(AZ94:AZ100)&lt;&gt;0,SUM(AZ94:AZ100),"")</f>
        <v/>
      </c>
      <c r="BB93" s="94" t="str">
        <f t="shared" ref="BB93:BB99" si="207">IF(AX93&lt;&gt;0,(AX93/AV93)-1,"")</f>
        <v/>
      </c>
      <c r="BD93" s="29">
        <f>IF(SUM(BD94:BD101)&lt;&gt;"",SUM(BD94:BD101),"")</f>
        <v>0</v>
      </c>
      <c r="BE93" s="14"/>
      <c r="BF93" s="29">
        <f>IF(SUM(BF94:BF101)&lt;&gt;"",SUM(BF94:BF101),"")</f>
        <v>0</v>
      </c>
      <c r="BG93" s="14"/>
      <c r="BH93" s="94" t="str">
        <f>IF(SUM(BH94:BH100)&lt;&gt;0,SUM(BH94:BH100),"")</f>
        <v/>
      </c>
      <c r="BJ93" s="94" t="str">
        <f t="shared" ref="BJ93:BJ99" si="208">IF(BF93&lt;&gt;0,(BF93/BD93)-1,"")</f>
        <v/>
      </c>
      <c r="BL93" s="29">
        <f>IF(SUM(BL94:BL101)&lt;&gt;"",SUM(BL94:BL101),"")</f>
        <v>0</v>
      </c>
      <c r="BM93" s="14"/>
      <c r="BN93" s="29">
        <f>IF(SUM(BN94:BN101)&lt;&gt;"",SUM(BN94:BN101),"")</f>
        <v>0</v>
      </c>
      <c r="BO93" s="14"/>
      <c r="BP93" s="94" t="str">
        <f>IF(SUM(BP94:BP100)&lt;&gt;0,SUM(BP94:BP100),"")</f>
        <v/>
      </c>
      <c r="BR93" s="94" t="str">
        <f t="shared" ref="BR93:BR99" si="209">IF(BN93&lt;&gt;0,(BN93/BL93)-1,"")</f>
        <v/>
      </c>
      <c r="BT93" s="29">
        <f>IF(SUM(BT94:BT101)&lt;&gt;"",SUM(BT94:BT101),"")</f>
        <v>0</v>
      </c>
      <c r="BU93" s="14"/>
      <c r="BV93" s="29">
        <f>IF(SUM(BV94:BV101)&lt;&gt;"",SUM(BV94:BV101),"")</f>
        <v>0</v>
      </c>
      <c r="BW93" s="14"/>
      <c r="BX93" s="94" t="str">
        <f>IF(SUM(BX94:BX100)&lt;&gt;0,SUM(BX94:BX100),"")</f>
        <v/>
      </c>
      <c r="BZ93" s="94" t="str">
        <f t="shared" ref="BZ93:BZ99" si="210">IF(BV93&lt;&gt;0,(BV93/BT93)-1,"")</f>
        <v/>
      </c>
      <c r="CB93" s="29">
        <f>IF(SUM(CB94:CB101)&lt;&gt;"",SUM(CB94:CB101),"")</f>
        <v>0</v>
      </c>
      <c r="CC93" s="14"/>
      <c r="CD93" s="29">
        <f>IF(SUM(CD94:CD101)&lt;&gt;"",SUM(CD94:CD101),"")</f>
        <v>0</v>
      </c>
      <c r="CE93" s="14"/>
      <c r="CF93" s="94" t="str">
        <f>IF(SUM(CF94:CF100)&lt;&gt;0,SUM(CF94:CF100),"")</f>
        <v/>
      </c>
      <c r="CH93" s="94" t="str">
        <f t="shared" ref="CH93:CH99" si="211">IF(CD93&lt;&gt;0,(CD93/CB93)-1,"")</f>
        <v/>
      </c>
      <c r="CJ93" s="29">
        <f>IF(SUM(CJ94:CJ101)&lt;&gt;"",SUM(CJ94:CJ101),"")</f>
        <v>0</v>
      </c>
      <c r="CK93" s="14"/>
      <c r="CL93" s="29">
        <f>IF(SUM(CL94:CL101)&lt;&gt;"",SUM(CL94:CL101),"")</f>
        <v>0</v>
      </c>
      <c r="CM93" s="14"/>
      <c r="CN93" s="94" t="str">
        <f>IF(SUM(CN94:CN100)&lt;&gt;0,SUM(CN94:CN100),"")</f>
        <v/>
      </c>
      <c r="CP93" s="94" t="str">
        <f t="shared" ref="CP93:CP99" si="212">IF(CL93&lt;&gt;0,(CL93/CJ93)-1,"")</f>
        <v/>
      </c>
      <c r="CR93" s="29">
        <f>IF(SUM(CR94:CR101)&lt;&gt;"",SUM(CR94:CR101),"")</f>
        <v>0</v>
      </c>
      <c r="CS93" s="14"/>
      <c r="CT93" s="29">
        <f>IF(SUM(CT94:CT101)&lt;&gt;"",SUM(CT94:CT101),"")</f>
        <v>0</v>
      </c>
      <c r="CU93" s="14"/>
      <c r="CV93" s="94" t="str">
        <f>IF(SUM(CV94:CV100)&lt;&gt;0,SUM(CV94:CV100),"")</f>
        <v/>
      </c>
      <c r="CX93" s="94" t="str">
        <f t="shared" ref="CX93:CX99" si="213">IF(CT93&lt;&gt;0,(CT93/CR93)-1,"")</f>
        <v/>
      </c>
    </row>
    <row r="94" spans="2:102" ht="15.6" x14ac:dyDescent="0.3">
      <c r="B94" s="98"/>
      <c r="C94" s="20" t="s">
        <v>28</v>
      </c>
      <c r="D94" s="78" t="e">
        <f t="shared" ref="D94:D99" si="214">IF(AVERAGE(J94,R94,Z94,AH94,AP94,AX94,BF94,BN94,BV94,CD94,CL94,CT94)&lt;&gt;"",AVERAGE(J94,R94,Z94,AH94,AP94,AX94,BF94,BN94,BV94,CD94,CL94,CT94),"")</f>
        <v>#DIV/0!</v>
      </c>
      <c r="E94" s="130">
        <f t="shared" ref="E94:E99" si="215">IF(SUM(J94,R94,Z94,AH94,AP94,AX94,BF94,BN94,BV94,CD94,CL94,CT94)&lt;&gt;"",SUM(J94,R94,Z94,AH94,AP94,AX94,BF94,BN94,BV94,CD94,CL94,CT94),"")</f>
        <v>0</v>
      </c>
      <c r="F94" s="80" t="str">
        <f t="shared" ref="F94:F99" si="216">IF(E94&lt;&gt;0,E94/E$7,"")</f>
        <v/>
      </c>
      <c r="H94" s="35"/>
      <c r="J94" s="147"/>
      <c r="L94" s="28" t="str">
        <f>IF(J94&lt;&gt;"",J94/J$7,"")</f>
        <v/>
      </c>
      <c r="N94" s="90" t="str">
        <f t="shared" ref="N94:N99" si="217">IF(J94&lt;&gt;0,(J94/D94)-1,"")</f>
        <v/>
      </c>
      <c r="P94" s="35"/>
      <c r="Q94" s="14"/>
      <c r="R94" s="147"/>
      <c r="S94" s="14"/>
      <c r="T94" s="28" t="str">
        <f>IF(R94&lt;&gt;"",R94/R$7,"")</f>
        <v/>
      </c>
      <c r="V94" s="90" t="str">
        <f t="shared" si="203"/>
        <v/>
      </c>
      <c r="X94" s="35"/>
      <c r="Y94" s="14"/>
      <c r="Z94" s="147"/>
      <c r="AA94" s="14"/>
      <c r="AB94" s="28" t="str">
        <f>IF(Z94&lt;&gt;"",Z94/Z$7,"")</f>
        <v/>
      </c>
      <c r="AC94" s="14"/>
      <c r="AD94" s="90" t="str">
        <f t="shared" si="204"/>
        <v/>
      </c>
      <c r="AF94" s="35"/>
      <c r="AG94" s="14"/>
      <c r="AH94" s="147"/>
      <c r="AI94" s="14"/>
      <c r="AJ94" s="28" t="str">
        <f>IF(AH94&lt;&gt;"",AH94/AH$7,"")</f>
        <v/>
      </c>
      <c r="AL94" s="90" t="str">
        <f t="shared" si="205"/>
        <v/>
      </c>
      <c r="AN94" s="35"/>
      <c r="AO94" s="14"/>
      <c r="AP94" s="147"/>
      <c r="AQ94" s="14"/>
      <c r="AR94" s="28" t="str">
        <f>IF(AP94&lt;&gt;"",AP94/AP$7,"")</f>
        <v/>
      </c>
      <c r="AT94" s="90" t="str">
        <f t="shared" si="206"/>
        <v/>
      </c>
      <c r="AV94" s="35"/>
      <c r="AW94" s="14"/>
      <c r="AX94" s="147"/>
      <c r="AY94" s="14"/>
      <c r="AZ94" s="28" t="str">
        <f>IF(AX94&lt;&gt;"",AX94/AX$7,"")</f>
        <v/>
      </c>
      <c r="BB94" s="90" t="str">
        <f t="shared" si="207"/>
        <v/>
      </c>
      <c r="BD94" s="35"/>
      <c r="BE94" s="14"/>
      <c r="BF94" s="147"/>
      <c r="BG94" s="14"/>
      <c r="BH94" s="28" t="str">
        <f>IF(BF94&lt;&gt;"",BF94/BF$7,"")</f>
        <v/>
      </c>
      <c r="BJ94" s="90" t="str">
        <f t="shared" si="208"/>
        <v/>
      </c>
      <c r="BL94" s="35"/>
      <c r="BM94" s="14"/>
      <c r="BN94" s="147"/>
      <c r="BO94" s="14"/>
      <c r="BP94" s="28" t="str">
        <f>IF(BN94&lt;&gt;"",BN94/BN$7,"")</f>
        <v/>
      </c>
      <c r="BR94" s="90" t="str">
        <f t="shared" si="209"/>
        <v/>
      </c>
      <c r="BT94" s="35"/>
      <c r="BU94" s="14"/>
      <c r="BV94" s="147"/>
      <c r="BW94" s="14"/>
      <c r="BX94" s="28" t="str">
        <f>IF(BV94&lt;&gt;"",BV94/BV$7,"")</f>
        <v/>
      </c>
      <c r="BZ94" s="90" t="str">
        <f t="shared" si="210"/>
        <v/>
      </c>
      <c r="CB94" s="35"/>
      <c r="CC94" s="14"/>
      <c r="CD94" s="147"/>
      <c r="CE94" s="14"/>
      <c r="CF94" s="28" t="str">
        <f>IF(CD94&lt;&gt;"",CD94/CD$7,"")</f>
        <v/>
      </c>
      <c r="CH94" s="90" t="str">
        <f t="shared" si="211"/>
        <v/>
      </c>
      <c r="CJ94" s="35"/>
      <c r="CK94" s="14"/>
      <c r="CL94" s="147"/>
      <c r="CM94" s="14"/>
      <c r="CN94" s="28" t="str">
        <f>IF(CL94&lt;&gt;"",CL94/CL$7,"")</f>
        <v/>
      </c>
      <c r="CP94" s="90" t="str">
        <f t="shared" si="212"/>
        <v/>
      </c>
      <c r="CR94" s="35"/>
      <c r="CS94" s="14"/>
      <c r="CT94" s="147"/>
      <c r="CU94" s="14"/>
      <c r="CV94" s="28" t="str">
        <f>IF(CT94&lt;&gt;"",CT94/CT$7,"")</f>
        <v/>
      </c>
      <c r="CX94" s="90" t="str">
        <f t="shared" si="213"/>
        <v/>
      </c>
    </row>
    <row r="95" spans="2:102" ht="15.6" x14ac:dyDescent="0.3">
      <c r="B95" s="98"/>
      <c r="C95" s="22" t="s">
        <v>91</v>
      </c>
      <c r="D95" s="78" t="e">
        <f t="shared" si="214"/>
        <v>#DIV/0!</v>
      </c>
      <c r="E95" s="130">
        <f t="shared" si="215"/>
        <v>0</v>
      </c>
      <c r="F95" s="80" t="str">
        <f t="shared" si="216"/>
        <v/>
      </c>
      <c r="H95" s="35"/>
      <c r="J95" s="147"/>
      <c r="L95" s="28" t="str">
        <f>IF(J95&lt;&gt;"",J95/J$7,"")</f>
        <v/>
      </c>
      <c r="N95" s="90" t="str">
        <f t="shared" si="217"/>
        <v/>
      </c>
      <c r="P95" s="35"/>
      <c r="Q95" s="14"/>
      <c r="R95" s="147"/>
      <c r="S95" s="14"/>
      <c r="T95" s="28" t="str">
        <f>IF(R95&lt;&gt;"",R95/R$7,"")</f>
        <v/>
      </c>
      <c r="V95" s="90"/>
      <c r="X95" s="35"/>
      <c r="Y95" s="14"/>
      <c r="Z95" s="147"/>
      <c r="AA95" s="14"/>
      <c r="AB95" s="28" t="str">
        <f>IF(Z95&lt;&gt;"",Z95/Z$7,"")</f>
        <v/>
      </c>
      <c r="AC95" s="14"/>
      <c r="AD95" s="90"/>
      <c r="AF95" s="35"/>
      <c r="AG95" s="14"/>
      <c r="AH95" s="147"/>
      <c r="AI95" s="14"/>
      <c r="AJ95" s="28" t="str">
        <f>IF(AH95&lt;&gt;"",AH95/AH$7,"")</f>
        <v/>
      </c>
      <c r="AL95" s="90"/>
      <c r="AN95" s="35"/>
      <c r="AO95" s="14"/>
      <c r="AP95" s="147"/>
      <c r="AQ95" s="14"/>
      <c r="AR95" s="28" t="str">
        <f>IF(AP95&lt;&gt;"",AP95/AP$7,"")</f>
        <v/>
      </c>
      <c r="AT95" s="90"/>
      <c r="AV95" s="35"/>
      <c r="AW95" s="14"/>
      <c r="AX95" s="147"/>
      <c r="AY95" s="14"/>
      <c r="AZ95" s="28" t="str">
        <f>IF(AX95&lt;&gt;"",AX95/AX$7,"")</f>
        <v/>
      </c>
      <c r="BB95" s="90"/>
      <c r="BD95" s="35"/>
      <c r="BE95" s="14"/>
      <c r="BF95" s="147"/>
      <c r="BG95" s="14"/>
      <c r="BH95" s="28" t="str">
        <f>IF(BF95&lt;&gt;"",BF95/BF$7,"")</f>
        <v/>
      </c>
      <c r="BJ95" s="90"/>
      <c r="BL95" s="35"/>
      <c r="BM95" s="14"/>
      <c r="BN95" s="147"/>
      <c r="BO95" s="14"/>
      <c r="BP95" s="28" t="str">
        <f>IF(BN95&lt;&gt;"",BN95/BN$7,"")</f>
        <v/>
      </c>
      <c r="BR95" s="90"/>
      <c r="BT95" s="35"/>
      <c r="BU95" s="14"/>
      <c r="BV95" s="147"/>
      <c r="BW95" s="14"/>
      <c r="BX95" s="28" t="str">
        <f>IF(BV95&lt;&gt;"",BV95/BV$7,"")</f>
        <v/>
      </c>
      <c r="BZ95" s="90"/>
      <c r="CB95" s="35"/>
      <c r="CC95" s="14"/>
      <c r="CD95" s="147"/>
      <c r="CE95" s="14"/>
      <c r="CF95" s="28" t="str">
        <f>IF(CD95&lt;&gt;"",CD95/CD$7,"")</f>
        <v/>
      </c>
      <c r="CH95" s="90"/>
      <c r="CJ95" s="35"/>
      <c r="CK95" s="14"/>
      <c r="CL95" s="147"/>
      <c r="CM95" s="14"/>
      <c r="CN95" s="28" t="str">
        <f>IF(CL95&lt;&gt;"",CL95/CL$7,"")</f>
        <v/>
      </c>
      <c r="CP95" s="90"/>
      <c r="CR95" s="35"/>
      <c r="CS95" s="14"/>
      <c r="CT95" s="147"/>
      <c r="CU95" s="14"/>
      <c r="CV95" s="28" t="str">
        <f>IF(CT95&lt;&gt;"",CT95/CT$7,"")</f>
        <v/>
      </c>
      <c r="CX95" s="90"/>
    </row>
    <row r="96" spans="2:102" ht="15.6" x14ac:dyDescent="0.3">
      <c r="B96" s="98"/>
      <c r="C96" s="22" t="s">
        <v>137</v>
      </c>
      <c r="D96" s="78" t="e">
        <f t="shared" si="214"/>
        <v>#DIV/0!</v>
      </c>
      <c r="E96" s="130">
        <f t="shared" si="215"/>
        <v>0</v>
      </c>
      <c r="F96" s="80" t="str">
        <f t="shared" si="216"/>
        <v/>
      </c>
      <c r="H96" s="35"/>
      <c r="J96" s="147"/>
      <c r="L96" s="28" t="str">
        <f t="shared" ref="L96:L99" si="218">IF(J96&lt;&gt;"",J96/J$7,"")</f>
        <v/>
      </c>
      <c r="N96" s="90" t="str">
        <f t="shared" si="217"/>
        <v/>
      </c>
      <c r="P96" s="35"/>
      <c r="Q96" s="14"/>
      <c r="R96" s="147"/>
      <c r="S96" s="14"/>
      <c r="T96" s="28" t="str">
        <f t="shared" ref="T96:T99" si="219">IF(R96&lt;&gt;"",R96/R$7,"")</f>
        <v/>
      </c>
      <c r="V96" s="90"/>
      <c r="X96" s="35"/>
      <c r="Y96" s="14"/>
      <c r="Z96" s="147"/>
      <c r="AA96" s="14"/>
      <c r="AB96" s="28" t="str">
        <f t="shared" ref="AB96:AB99" si="220">IF(Z96&lt;&gt;"",Z96/Z$7,"")</f>
        <v/>
      </c>
      <c r="AC96" s="14"/>
      <c r="AD96" s="90"/>
      <c r="AF96" s="35"/>
      <c r="AG96" s="14"/>
      <c r="AH96" s="147"/>
      <c r="AI96" s="14"/>
      <c r="AJ96" s="28" t="str">
        <f t="shared" ref="AJ96:AJ99" si="221">IF(AH96&lt;&gt;"",AH96/AH$7,"")</f>
        <v/>
      </c>
      <c r="AL96" s="90"/>
      <c r="AN96" s="35"/>
      <c r="AO96" s="14"/>
      <c r="AP96" s="147"/>
      <c r="AQ96" s="14"/>
      <c r="AR96" s="28" t="str">
        <f t="shared" ref="AR96:AR99" si="222">IF(AP96&lt;&gt;"",AP96/AP$7,"")</f>
        <v/>
      </c>
      <c r="AT96" s="90"/>
      <c r="AV96" s="35"/>
      <c r="AW96" s="14"/>
      <c r="AX96" s="147"/>
      <c r="AY96" s="14"/>
      <c r="AZ96" s="28" t="str">
        <f t="shared" ref="AZ96:AZ99" si="223">IF(AX96&lt;&gt;"",AX96/AX$7,"")</f>
        <v/>
      </c>
      <c r="BB96" s="90"/>
      <c r="BD96" s="35"/>
      <c r="BE96" s="14"/>
      <c r="BF96" s="147"/>
      <c r="BG96" s="14"/>
      <c r="BH96" s="28" t="str">
        <f t="shared" ref="BH96:BH99" si="224">IF(BF96&lt;&gt;"",BF96/BF$7,"")</f>
        <v/>
      </c>
      <c r="BJ96" s="90"/>
      <c r="BL96" s="35"/>
      <c r="BM96" s="14"/>
      <c r="BN96" s="147"/>
      <c r="BO96" s="14"/>
      <c r="BP96" s="28" t="str">
        <f t="shared" ref="BP96:BP99" si="225">IF(BN96&lt;&gt;"",BN96/BN$7,"")</f>
        <v/>
      </c>
      <c r="BR96" s="90"/>
      <c r="BT96" s="35"/>
      <c r="BU96" s="14"/>
      <c r="BV96" s="147"/>
      <c r="BW96" s="14"/>
      <c r="BX96" s="28" t="str">
        <f t="shared" ref="BX96:BX99" si="226">IF(BV96&lt;&gt;"",BV96/BV$7,"")</f>
        <v/>
      </c>
      <c r="BZ96" s="90"/>
      <c r="CB96" s="35"/>
      <c r="CC96" s="14"/>
      <c r="CD96" s="147"/>
      <c r="CE96" s="14"/>
      <c r="CF96" s="28" t="str">
        <f t="shared" ref="CF96:CF99" si="227">IF(CD96&lt;&gt;"",CD96/CD$7,"")</f>
        <v/>
      </c>
      <c r="CH96" s="90"/>
      <c r="CJ96" s="35"/>
      <c r="CK96" s="14"/>
      <c r="CL96" s="147"/>
      <c r="CM96" s="14"/>
      <c r="CN96" s="28" t="str">
        <f t="shared" ref="CN96:CN99" si="228">IF(CL96&lt;&gt;"",CL96/CL$7,"")</f>
        <v/>
      </c>
      <c r="CP96" s="90"/>
      <c r="CR96" s="35"/>
      <c r="CS96" s="14"/>
      <c r="CT96" s="147"/>
      <c r="CU96" s="14"/>
      <c r="CV96" s="28" t="str">
        <f t="shared" ref="CV96:CV99" si="229">IF(CT96&lt;&gt;"",CT96/CT$7,"")</f>
        <v/>
      </c>
      <c r="CX96" s="90"/>
    </row>
    <row r="97" spans="1:102" ht="15.6" x14ac:dyDescent="0.3">
      <c r="B97" s="98"/>
      <c r="C97" s="22" t="s">
        <v>90</v>
      </c>
      <c r="D97" s="78" t="e">
        <f t="shared" si="214"/>
        <v>#DIV/0!</v>
      </c>
      <c r="E97" s="130">
        <f t="shared" si="215"/>
        <v>0</v>
      </c>
      <c r="F97" s="80" t="str">
        <f t="shared" si="216"/>
        <v/>
      </c>
      <c r="H97" s="35"/>
      <c r="J97" s="147"/>
      <c r="L97" s="28" t="str">
        <f t="shared" si="218"/>
        <v/>
      </c>
      <c r="N97" s="90" t="str">
        <f t="shared" si="217"/>
        <v/>
      </c>
      <c r="P97" s="35"/>
      <c r="Q97" s="14"/>
      <c r="R97" s="147"/>
      <c r="S97" s="14"/>
      <c r="T97" s="28" t="str">
        <f t="shared" si="219"/>
        <v/>
      </c>
      <c r="V97" s="90"/>
      <c r="X97" s="35"/>
      <c r="Y97" s="14"/>
      <c r="Z97" s="147"/>
      <c r="AA97" s="14"/>
      <c r="AB97" s="28" t="str">
        <f t="shared" si="220"/>
        <v/>
      </c>
      <c r="AC97" s="14"/>
      <c r="AD97" s="90"/>
      <c r="AF97" s="35"/>
      <c r="AG97" s="14"/>
      <c r="AH97" s="147"/>
      <c r="AI97" s="14"/>
      <c r="AJ97" s="28" t="str">
        <f t="shared" si="221"/>
        <v/>
      </c>
      <c r="AL97" s="90"/>
      <c r="AN97" s="35"/>
      <c r="AO97" s="14"/>
      <c r="AP97" s="147"/>
      <c r="AQ97" s="14"/>
      <c r="AR97" s="28" t="str">
        <f t="shared" si="222"/>
        <v/>
      </c>
      <c r="AT97" s="90"/>
      <c r="AV97" s="35"/>
      <c r="AW97" s="14"/>
      <c r="AX97" s="147"/>
      <c r="AY97" s="14"/>
      <c r="AZ97" s="28" t="str">
        <f t="shared" si="223"/>
        <v/>
      </c>
      <c r="BB97" s="90"/>
      <c r="BD97" s="35"/>
      <c r="BE97" s="14"/>
      <c r="BF97" s="147"/>
      <c r="BG97" s="14"/>
      <c r="BH97" s="28" t="str">
        <f t="shared" si="224"/>
        <v/>
      </c>
      <c r="BJ97" s="90"/>
      <c r="BL97" s="35"/>
      <c r="BM97" s="14"/>
      <c r="BN97" s="147"/>
      <c r="BO97" s="14"/>
      <c r="BP97" s="28" t="str">
        <f t="shared" si="225"/>
        <v/>
      </c>
      <c r="BR97" s="90"/>
      <c r="BT97" s="35"/>
      <c r="BU97" s="14"/>
      <c r="BV97" s="147"/>
      <c r="BW97" s="14"/>
      <c r="BX97" s="28" t="str">
        <f t="shared" si="226"/>
        <v/>
      </c>
      <c r="BZ97" s="90"/>
      <c r="CB97" s="35"/>
      <c r="CC97" s="14"/>
      <c r="CD97" s="147"/>
      <c r="CE97" s="14"/>
      <c r="CF97" s="28" t="str">
        <f t="shared" si="227"/>
        <v/>
      </c>
      <c r="CH97" s="90"/>
      <c r="CJ97" s="35"/>
      <c r="CK97" s="14"/>
      <c r="CL97" s="147"/>
      <c r="CM97" s="14"/>
      <c r="CN97" s="28" t="str">
        <f t="shared" si="228"/>
        <v/>
      </c>
      <c r="CP97" s="90"/>
      <c r="CR97" s="35"/>
      <c r="CS97" s="14"/>
      <c r="CT97" s="147"/>
      <c r="CU97" s="14"/>
      <c r="CV97" s="28" t="str">
        <f t="shared" si="229"/>
        <v/>
      </c>
      <c r="CX97" s="90"/>
    </row>
    <row r="98" spans="1:102" ht="15.6" x14ac:dyDescent="0.3">
      <c r="B98" s="98"/>
      <c r="C98" s="22" t="s">
        <v>94</v>
      </c>
      <c r="D98" s="78" t="e">
        <f t="shared" si="214"/>
        <v>#DIV/0!</v>
      </c>
      <c r="E98" s="130">
        <f t="shared" si="215"/>
        <v>0</v>
      </c>
      <c r="F98" s="80" t="str">
        <f t="shared" si="216"/>
        <v/>
      </c>
      <c r="H98" s="35"/>
      <c r="J98" s="147"/>
      <c r="L98" s="28" t="str">
        <f t="shared" si="218"/>
        <v/>
      </c>
      <c r="N98" s="90" t="str">
        <f t="shared" si="217"/>
        <v/>
      </c>
      <c r="P98" s="35"/>
      <c r="Q98" s="14"/>
      <c r="R98" s="147"/>
      <c r="S98" s="14"/>
      <c r="T98" s="28" t="str">
        <f t="shared" si="219"/>
        <v/>
      </c>
      <c r="V98" s="90"/>
      <c r="X98" s="35"/>
      <c r="Y98" s="14"/>
      <c r="Z98" s="147"/>
      <c r="AA98" s="14"/>
      <c r="AB98" s="28" t="str">
        <f t="shared" si="220"/>
        <v/>
      </c>
      <c r="AC98" s="14"/>
      <c r="AD98" s="90"/>
      <c r="AF98" s="35"/>
      <c r="AG98" s="14"/>
      <c r="AH98" s="147"/>
      <c r="AI98" s="14"/>
      <c r="AJ98" s="28" t="str">
        <f t="shared" si="221"/>
        <v/>
      </c>
      <c r="AL98" s="90"/>
      <c r="AN98" s="35"/>
      <c r="AO98" s="14"/>
      <c r="AP98" s="147"/>
      <c r="AQ98" s="14"/>
      <c r="AR98" s="28" t="str">
        <f t="shared" si="222"/>
        <v/>
      </c>
      <c r="AT98" s="90"/>
      <c r="AV98" s="35"/>
      <c r="AW98" s="14"/>
      <c r="AX98" s="147"/>
      <c r="AY98" s="14"/>
      <c r="AZ98" s="28" t="str">
        <f t="shared" si="223"/>
        <v/>
      </c>
      <c r="BB98" s="90"/>
      <c r="BD98" s="35"/>
      <c r="BE98" s="14"/>
      <c r="BF98" s="147"/>
      <c r="BG98" s="14"/>
      <c r="BH98" s="28" t="str">
        <f t="shared" si="224"/>
        <v/>
      </c>
      <c r="BJ98" s="90"/>
      <c r="BL98" s="35"/>
      <c r="BM98" s="14"/>
      <c r="BN98" s="147"/>
      <c r="BO98" s="14"/>
      <c r="BP98" s="28" t="str">
        <f t="shared" si="225"/>
        <v/>
      </c>
      <c r="BR98" s="90"/>
      <c r="BT98" s="35"/>
      <c r="BU98" s="14"/>
      <c r="BV98" s="147"/>
      <c r="BW98" s="14"/>
      <c r="BX98" s="28" t="str">
        <f t="shared" si="226"/>
        <v/>
      </c>
      <c r="BZ98" s="90"/>
      <c r="CB98" s="35"/>
      <c r="CC98" s="14"/>
      <c r="CD98" s="147"/>
      <c r="CE98" s="14"/>
      <c r="CF98" s="28" t="str">
        <f t="shared" si="227"/>
        <v/>
      </c>
      <c r="CH98" s="90"/>
      <c r="CJ98" s="35"/>
      <c r="CK98" s="14"/>
      <c r="CL98" s="147"/>
      <c r="CM98" s="14"/>
      <c r="CN98" s="28" t="str">
        <f t="shared" si="228"/>
        <v/>
      </c>
      <c r="CP98" s="90"/>
      <c r="CR98" s="35"/>
      <c r="CS98" s="14"/>
      <c r="CT98" s="147"/>
      <c r="CU98" s="14"/>
      <c r="CV98" s="28" t="str">
        <f t="shared" si="229"/>
        <v/>
      </c>
      <c r="CX98" s="90"/>
    </row>
    <row r="99" spans="1:102" ht="15.6" x14ac:dyDescent="0.3">
      <c r="B99" s="51"/>
      <c r="C99" s="22" t="s">
        <v>30</v>
      </c>
      <c r="D99" s="78" t="e">
        <f t="shared" si="214"/>
        <v>#DIV/0!</v>
      </c>
      <c r="E99" s="130">
        <f t="shared" si="215"/>
        <v>0</v>
      </c>
      <c r="F99" s="80" t="str">
        <f t="shared" si="216"/>
        <v/>
      </c>
      <c r="H99" s="99"/>
      <c r="J99" s="148"/>
      <c r="L99" s="28" t="str">
        <f t="shared" si="218"/>
        <v/>
      </c>
      <c r="N99" s="90" t="str">
        <f t="shared" si="217"/>
        <v/>
      </c>
      <c r="P99" s="99"/>
      <c r="Q99" s="14"/>
      <c r="R99" s="148"/>
      <c r="S99" s="14"/>
      <c r="T99" s="28" t="str">
        <f t="shared" si="219"/>
        <v/>
      </c>
      <c r="V99" s="90" t="str">
        <f t="shared" si="203"/>
        <v/>
      </c>
      <c r="X99" s="99"/>
      <c r="Y99" s="14"/>
      <c r="Z99" s="148"/>
      <c r="AA99" s="14"/>
      <c r="AB99" s="28" t="str">
        <f t="shared" si="220"/>
        <v/>
      </c>
      <c r="AC99" s="14"/>
      <c r="AD99" s="90" t="str">
        <f t="shared" si="204"/>
        <v/>
      </c>
      <c r="AF99" s="99"/>
      <c r="AG99" s="14"/>
      <c r="AH99" s="148"/>
      <c r="AI99" s="14"/>
      <c r="AJ99" s="28" t="str">
        <f t="shared" si="221"/>
        <v/>
      </c>
      <c r="AL99" s="90" t="str">
        <f t="shared" si="205"/>
        <v/>
      </c>
      <c r="AN99" s="99"/>
      <c r="AO99" s="14"/>
      <c r="AP99" s="148"/>
      <c r="AQ99" s="14"/>
      <c r="AR99" s="28" t="str">
        <f t="shared" si="222"/>
        <v/>
      </c>
      <c r="AT99" s="90" t="str">
        <f t="shared" si="206"/>
        <v/>
      </c>
      <c r="AV99" s="99"/>
      <c r="AW99" s="14"/>
      <c r="AX99" s="148"/>
      <c r="AY99" s="14"/>
      <c r="AZ99" s="28" t="str">
        <f t="shared" si="223"/>
        <v/>
      </c>
      <c r="BB99" s="90" t="str">
        <f t="shared" si="207"/>
        <v/>
      </c>
      <c r="BD99" s="99"/>
      <c r="BE99" s="14"/>
      <c r="BF99" s="148"/>
      <c r="BG99" s="14"/>
      <c r="BH99" s="28" t="str">
        <f t="shared" si="224"/>
        <v/>
      </c>
      <c r="BJ99" s="90" t="str">
        <f t="shared" si="208"/>
        <v/>
      </c>
      <c r="BL99" s="99"/>
      <c r="BM99" s="14"/>
      <c r="BN99" s="148"/>
      <c r="BO99" s="14"/>
      <c r="BP99" s="28" t="str">
        <f t="shared" si="225"/>
        <v/>
      </c>
      <c r="BR99" s="90" t="str">
        <f t="shared" si="209"/>
        <v/>
      </c>
      <c r="BT99" s="99"/>
      <c r="BU99" s="14"/>
      <c r="BV99" s="148"/>
      <c r="BW99" s="14"/>
      <c r="BX99" s="28" t="str">
        <f t="shared" si="226"/>
        <v/>
      </c>
      <c r="BZ99" s="90" t="str">
        <f t="shared" si="210"/>
        <v/>
      </c>
      <c r="CB99" s="99"/>
      <c r="CC99" s="14"/>
      <c r="CD99" s="148"/>
      <c r="CE99" s="14"/>
      <c r="CF99" s="28" t="str">
        <f t="shared" si="227"/>
        <v/>
      </c>
      <c r="CH99" s="90" t="str">
        <f t="shared" si="211"/>
        <v/>
      </c>
      <c r="CJ99" s="99"/>
      <c r="CK99" s="14"/>
      <c r="CL99" s="148"/>
      <c r="CM99" s="14"/>
      <c r="CN99" s="28" t="str">
        <f t="shared" si="228"/>
        <v/>
      </c>
      <c r="CP99" s="90" t="str">
        <f t="shared" si="212"/>
        <v/>
      </c>
      <c r="CR99" s="99"/>
      <c r="CS99" s="14"/>
      <c r="CT99" s="148"/>
      <c r="CU99" s="14"/>
      <c r="CV99" s="28" t="str">
        <f t="shared" si="229"/>
        <v/>
      </c>
      <c r="CX99" s="90" t="str">
        <f t="shared" si="213"/>
        <v/>
      </c>
    </row>
    <row r="100" spans="1:102" ht="15.6" x14ac:dyDescent="0.3">
      <c r="B100" s="51"/>
      <c r="C100" s="22" t="s">
        <v>148</v>
      </c>
      <c r="D100" s="78"/>
      <c r="E100" s="130"/>
      <c r="F100" s="80"/>
      <c r="H100" s="99"/>
      <c r="J100" s="148"/>
      <c r="L100" s="28"/>
      <c r="N100" s="90"/>
      <c r="P100" s="99"/>
      <c r="Q100" s="14"/>
      <c r="R100" s="148"/>
      <c r="S100" s="14"/>
      <c r="T100" s="28"/>
      <c r="V100" s="90"/>
      <c r="X100" s="99"/>
      <c r="Y100" s="14"/>
      <c r="Z100" s="148"/>
      <c r="AA100" s="14"/>
      <c r="AB100" s="28"/>
      <c r="AC100" s="14"/>
      <c r="AD100" s="90"/>
      <c r="AF100" s="99"/>
      <c r="AG100" s="14"/>
      <c r="AH100" s="148"/>
      <c r="AI100" s="14"/>
      <c r="AJ100" s="28"/>
      <c r="AL100" s="90"/>
      <c r="AN100" s="99"/>
      <c r="AO100" s="14"/>
      <c r="AP100" s="148"/>
      <c r="AQ100" s="14"/>
      <c r="AR100" s="28"/>
      <c r="AT100" s="90"/>
      <c r="AV100" s="99"/>
      <c r="AW100" s="14"/>
      <c r="AX100" s="148"/>
      <c r="AY100" s="14"/>
      <c r="AZ100" s="28"/>
      <c r="BB100" s="90"/>
      <c r="BD100" s="99"/>
      <c r="BE100" s="14"/>
      <c r="BF100" s="148"/>
      <c r="BG100" s="14"/>
      <c r="BH100" s="28"/>
      <c r="BJ100" s="90"/>
      <c r="BL100" s="99"/>
      <c r="BM100" s="14"/>
      <c r="BN100" s="148"/>
      <c r="BO100" s="14"/>
      <c r="BP100" s="28"/>
      <c r="BR100" s="90"/>
      <c r="BT100" s="99"/>
      <c r="BU100" s="14"/>
      <c r="BV100" s="148"/>
      <c r="BW100" s="14"/>
      <c r="BX100" s="28"/>
      <c r="BZ100" s="90"/>
      <c r="CB100" s="99"/>
      <c r="CC100" s="14"/>
      <c r="CD100" s="148"/>
      <c r="CE100" s="14"/>
      <c r="CF100" s="28"/>
      <c r="CH100" s="90"/>
      <c r="CJ100" s="99"/>
      <c r="CK100" s="14"/>
      <c r="CL100" s="148"/>
      <c r="CM100" s="14"/>
      <c r="CN100" s="28"/>
      <c r="CP100" s="90"/>
      <c r="CR100" s="99"/>
      <c r="CS100" s="14"/>
      <c r="CT100" s="148"/>
      <c r="CU100" s="14"/>
      <c r="CV100" s="28"/>
      <c r="CX100" s="90"/>
    </row>
    <row r="101" spans="1:102" ht="16.2" thickBot="1" x14ac:dyDescent="0.35">
      <c r="B101" s="52"/>
      <c r="C101" s="62"/>
      <c r="D101" s="71"/>
      <c r="E101" s="133"/>
      <c r="F101" s="81"/>
      <c r="H101" s="64"/>
      <c r="J101" s="149"/>
      <c r="L101" s="65"/>
      <c r="N101" s="97"/>
      <c r="P101" s="64"/>
      <c r="Q101" s="14"/>
      <c r="R101" s="149"/>
      <c r="S101" s="14"/>
      <c r="T101" s="65"/>
      <c r="V101" s="90"/>
      <c r="X101" s="64"/>
      <c r="Y101" s="14"/>
      <c r="Z101" s="149"/>
      <c r="AA101" s="14"/>
      <c r="AB101" s="65"/>
      <c r="AC101" s="14"/>
      <c r="AD101" s="90"/>
      <c r="AF101" s="64"/>
      <c r="AG101" s="14"/>
      <c r="AH101" s="149"/>
      <c r="AI101" s="14"/>
      <c r="AJ101" s="65"/>
      <c r="AL101" s="90"/>
      <c r="AN101" s="64"/>
      <c r="AO101" s="14"/>
      <c r="AP101" s="149"/>
      <c r="AQ101" s="14"/>
      <c r="AR101" s="65"/>
      <c r="AT101" s="90"/>
      <c r="AV101" s="64"/>
      <c r="AW101" s="14"/>
      <c r="AX101" s="149"/>
      <c r="AY101" s="14"/>
      <c r="AZ101" s="65"/>
      <c r="BB101" s="90"/>
      <c r="BD101" s="64"/>
      <c r="BE101" s="14"/>
      <c r="BF101" s="149"/>
      <c r="BG101" s="14"/>
      <c r="BH101" s="65"/>
      <c r="BJ101" s="90"/>
      <c r="BL101" s="64"/>
      <c r="BM101" s="14"/>
      <c r="BN101" s="149"/>
      <c r="BO101" s="14"/>
      <c r="BP101" s="65"/>
      <c r="BR101" s="90"/>
      <c r="BT101" s="64"/>
      <c r="BU101" s="14"/>
      <c r="BV101" s="149"/>
      <c r="BW101" s="14"/>
      <c r="BX101" s="65"/>
      <c r="BZ101" s="90"/>
      <c r="CB101" s="64"/>
      <c r="CC101" s="14"/>
      <c r="CD101" s="149"/>
      <c r="CE101" s="14"/>
      <c r="CF101" s="65"/>
      <c r="CH101" s="90"/>
      <c r="CJ101" s="64"/>
      <c r="CK101" s="14"/>
      <c r="CL101" s="149"/>
      <c r="CM101" s="14"/>
      <c r="CN101" s="65"/>
      <c r="CP101" s="90"/>
      <c r="CR101" s="64"/>
      <c r="CS101" s="14"/>
      <c r="CT101" s="149"/>
      <c r="CU101" s="14"/>
      <c r="CV101" s="65"/>
      <c r="CX101" s="90"/>
    </row>
    <row r="102" spans="1:102" ht="9" customHeight="1" thickBot="1" x14ac:dyDescent="0.35">
      <c r="C102" s="39"/>
      <c r="F102" s="17"/>
      <c r="H102" s="36"/>
      <c r="J102" s="36"/>
      <c r="L102" s="31"/>
      <c r="N102" s="31"/>
      <c r="P102" s="36"/>
      <c r="Q102" s="14"/>
      <c r="R102" s="36"/>
      <c r="S102" s="14"/>
      <c r="T102" s="31"/>
      <c r="V102" s="31"/>
      <c r="X102" s="36"/>
      <c r="Y102" s="14"/>
      <c r="Z102" s="36"/>
      <c r="AA102" s="14"/>
      <c r="AB102" s="31"/>
      <c r="AC102" s="14"/>
      <c r="AD102" s="31"/>
      <c r="AF102" s="36"/>
      <c r="AG102" s="14"/>
      <c r="AH102" s="36"/>
      <c r="AI102" s="14"/>
      <c r="AJ102" s="31"/>
      <c r="AL102" s="31"/>
      <c r="AN102" s="36"/>
      <c r="AO102" s="14"/>
      <c r="AP102" s="36"/>
      <c r="AQ102" s="14"/>
      <c r="AR102" s="31"/>
      <c r="AT102" s="31"/>
      <c r="AV102" s="36"/>
      <c r="AW102" s="14"/>
      <c r="AX102" s="36"/>
      <c r="AY102" s="14"/>
      <c r="AZ102" s="31"/>
      <c r="BB102" s="31"/>
      <c r="BD102" s="36"/>
      <c r="BE102" s="14"/>
      <c r="BF102" s="36"/>
      <c r="BG102" s="14"/>
      <c r="BH102" s="31"/>
      <c r="BJ102" s="31"/>
      <c r="BL102" s="36"/>
      <c r="BM102" s="14"/>
      <c r="BN102" s="36"/>
      <c r="BO102" s="14"/>
      <c r="BP102" s="31"/>
      <c r="BR102" s="31"/>
      <c r="BT102" s="36"/>
      <c r="BU102" s="14"/>
      <c r="BV102" s="36"/>
      <c r="BW102" s="14"/>
      <c r="BX102" s="31"/>
      <c r="BZ102" s="31"/>
      <c r="CB102" s="36"/>
      <c r="CC102" s="14"/>
      <c r="CD102" s="36"/>
      <c r="CE102" s="14"/>
      <c r="CF102" s="31"/>
      <c r="CH102" s="31"/>
      <c r="CJ102" s="36"/>
      <c r="CK102" s="14"/>
      <c r="CL102" s="36"/>
      <c r="CM102" s="14"/>
      <c r="CN102" s="31"/>
      <c r="CP102" s="31"/>
      <c r="CR102" s="36"/>
      <c r="CS102" s="14"/>
      <c r="CT102" s="36"/>
      <c r="CU102" s="14"/>
      <c r="CV102" s="31"/>
      <c r="CX102" s="31"/>
    </row>
    <row r="103" spans="1:102" ht="16.2" thickBot="1" x14ac:dyDescent="0.35">
      <c r="B103" s="208" t="s">
        <v>128</v>
      </c>
      <c r="C103" s="209"/>
      <c r="D103" s="37" t="e">
        <f>SUM(D93,D82,D75,D50,D43,D27)</f>
        <v>#DIV/0!</v>
      </c>
      <c r="E103" s="135">
        <f>SUM(E93,E82,E75,E50,E43,E27)</f>
        <v>0</v>
      </c>
      <c r="F103" s="100" t="e">
        <f>AVERAGE(L103,T103,AB103,AJ103,AR103,AZ103,BH103,BP103,BX103,CF103,CN103,CV103)</f>
        <v>#DIV/0!</v>
      </c>
      <c r="H103" s="38">
        <f>IF(SUM(H93,H82,H75,H50,H43,H27)&lt;&gt;"",SUM(H93,H82,H75,H50,H43,H27),"")</f>
        <v>0</v>
      </c>
      <c r="J103" s="38">
        <f>IF(SUM(J93,J82,J75,J50,J43,J27)&lt;&gt;"",SUM(J93,J82,J75,J50,J43,J27),"")</f>
        <v>0</v>
      </c>
      <c r="L103" s="101" t="str">
        <f>IF(J103&lt;&gt;0,J103/J7,"")</f>
        <v/>
      </c>
      <c r="N103" s="30" t="e">
        <f>IF(J103&lt;&gt;"",(J103/$D103)-1,"")</f>
        <v>#DIV/0!</v>
      </c>
      <c r="P103" s="38">
        <f>IF(SUM(P93,P82,P75,P50,P43,P27)&lt;&gt;"",SUM(P93,P82,P75,P50,P43,P27),"")</f>
        <v>0</v>
      </c>
      <c r="Q103" s="14"/>
      <c r="R103" s="38">
        <f>IF(SUM(R93,R82,R75,R50,R43,R27)&lt;&gt;"",SUM(R93,R82,R75,R50,R43,R27),"")</f>
        <v>0</v>
      </c>
      <c r="S103" s="14"/>
      <c r="T103" s="101" t="str">
        <f>IF(R103&lt;&gt;0,R103/R7,"")</f>
        <v/>
      </c>
      <c r="V103" s="102" t="str">
        <f t="shared" ref="V103" si="230">IF(R103&lt;&gt;0,(R103/P103)-1,"")</f>
        <v/>
      </c>
      <c r="X103" s="38">
        <f>IF(SUM(X93,X82,X75,X50,X43,X27)&lt;&gt;"",SUM(X93,X82,X75,X50,X43,X27),"")</f>
        <v>0</v>
      </c>
      <c r="Y103" s="14"/>
      <c r="Z103" s="38">
        <f>IF(SUM(Z93,Z82,Z75,Z50,Z43,Z27)&lt;&gt;"",SUM(Z93,Z82,Z75,Z50,Z43,Z27),"")</f>
        <v>0</v>
      </c>
      <c r="AA103" s="14"/>
      <c r="AB103" s="101" t="str">
        <f>IF(Z103&lt;&gt;0,Z103/Z7,"")</f>
        <v/>
      </c>
      <c r="AC103" s="14"/>
      <c r="AD103" s="102" t="str">
        <f t="shared" ref="AD103" si="231">IF(Z103&lt;&gt;0,(Z103/X103)-1,"")</f>
        <v/>
      </c>
      <c r="AF103" s="38">
        <f>IF(SUM(AF93,AF82,AF75,AF50,AF43,AF27)&lt;&gt;"",SUM(AF93,AF82,AF75,AF50,AF43,AF27),"")</f>
        <v>0</v>
      </c>
      <c r="AG103" s="14"/>
      <c r="AH103" s="38">
        <f>IF(SUM(AH93,AH82,AH75,AH50,AH43,AH27)&lt;&gt;"",SUM(AH93,AH82,AH75,AH50,AH43,AH27),"")</f>
        <v>0</v>
      </c>
      <c r="AI103" s="14"/>
      <c r="AJ103" s="101" t="str">
        <f>IF(AH103&lt;&gt;0,AH103/AH7,"")</f>
        <v/>
      </c>
      <c r="AL103" s="102" t="str">
        <f t="shared" ref="AL103" si="232">IF(AH103&lt;&gt;0,(AH103/AF103)-1,"")</f>
        <v/>
      </c>
      <c r="AN103" s="38">
        <f>IF(SUM(AN93,AN82,AN75,AN50,AN43,AN27)&lt;&gt;"",SUM(AN93,AN82,AN75,AN50,AN43,AN27),"")</f>
        <v>0</v>
      </c>
      <c r="AO103" s="14"/>
      <c r="AP103" s="38">
        <f>IF(SUM(AP93,AP82,AP75,AP50,AP43,AP27)&lt;&gt;"",SUM(AP93,AP82,AP75,AP50,AP43,AP27),"")</f>
        <v>0</v>
      </c>
      <c r="AQ103" s="14"/>
      <c r="AR103" s="101" t="str">
        <f>IF(AP103&lt;&gt;0,AP103/AP7,"")</f>
        <v/>
      </c>
      <c r="AT103" s="102" t="str">
        <f t="shared" ref="AT103" si="233">IF(AP103&lt;&gt;0,(AP103/AN103)-1,"")</f>
        <v/>
      </c>
      <c r="AV103" s="38">
        <f>IF(SUM(AV93,AV82,AV75,AV50,AV43,AV27)&lt;&gt;"",SUM(AV93,AV82,AV75,AV50,AV43,AV27),"")</f>
        <v>0</v>
      </c>
      <c r="AW103" s="14"/>
      <c r="AX103" s="38">
        <f>IF(SUM(AX93,AX82,AX75,AX50,AX43,AX27)&lt;&gt;"",SUM(AX93,AX82,AX75,AX50,AX43,AX27),"")</f>
        <v>0</v>
      </c>
      <c r="AY103" s="14"/>
      <c r="AZ103" s="101" t="str">
        <f>IF(AX103&lt;&gt;0,AX103/AX7,"")</f>
        <v/>
      </c>
      <c r="BB103" s="102" t="str">
        <f t="shared" ref="BB103" si="234">IF(AX103&lt;&gt;0,(AX103/AV103)-1,"")</f>
        <v/>
      </c>
      <c r="BD103" s="38">
        <f>IF(SUM(BD93,BD82,BD75,BD50,BD43,BD27)&lt;&gt;"",SUM(BD93,BD82,BD75,BD50,BD43,BD27),"")</f>
        <v>0</v>
      </c>
      <c r="BE103" s="14"/>
      <c r="BF103" s="38">
        <f>IF(SUM(BF93,BF82,BF75,BF50,BF43,BF27)&lt;&gt;"",SUM(BF93,BF82,BF75,BF50,BF43,BF27),"")</f>
        <v>0</v>
      </c>
      <c r="BG103" s="14"/>
      <c r="BH103" s="101" t="str">
        <f>IF(BF103&lt;&gt;0,BF103/BF7,"")</f>
        <v/>
      </c>
      <c r="BJ103" s="102" t="str">
        <f t="shared" ref="BJ103" si="235">IF(BF103&lt;&gt;0,(BF103/BD103)-1,"")</f>
        <v/>
      </c>
      <c r="BL103" s="38">
        <f>IF(SUM(BL93,BL82,BL75,BL50,BL43,BL27)&lt;&gt;"",SUM(BL93,BL82,BL75,BL50,BL43,BL27),"")</f>
        <v>0</v>
      </c>
      <c r="BM103" s="14"/>
      <c r="BN103" s="38">
        <f>IF(SUM(BN93,BN82,BN75,BN50,BN43,BN27)&lt;&gt;"",SUM(BN93,BN82,BN75,BN50,BN43,BN27),"")</f>
        <v>0</v>
      </c>
      <c r="BO103" s="14"/>
      <c r="BP103" s="101" t="str">
        <f>IF(BN103&lt;&gt;0,BN103/BN7,"")</f>
        <v/>
      </c>
      <c r="BR103" s="102" t="str">
        <f t="shared" ref="BR103" si="236">IF(BN103&lt;&gt;0,(BN103/BL103)-1,"")</f>
        <v/>
      </c>
      <c r="BT103" s="38">
        <f>IF(SUM(BT93,BT82,BT75,BT50,BT43,BT27)&lt;&gt;"",SUM(BT93,BT82,BT75,BT50,BT43,BT27),"")</f>
        <v>0</v>
      </c>
      <c r="BU103" s="14"/>
      <c r="BV103" s="38">
        <f>IF(SUM(BV93,BV82,BV75,BV50,BV43,BV27)&lt;&gt;"",SUM(BV93,BV82,BV75,BV50,BV43,BV27),"")</f>
        <v>0</v>
      </c>
      <c r="BW103" s="14"/>
      <c r="BX103" s="101" t="str">
        <f>IF(BV103&lt;&gt;0,BV103/BV7,"")</f>
        <v/>
      </c>
      <c r="BZ103" s="102" t="str">
        <f t="shared" ref="BZ103" si="237">IF(BV103&lt;&gt;0,(BV103/BT103)-1,"")</f>
        <v/>
      </c>
      <c r="CB103" s="38">
        <f>IF(SUM(CB93,CB82,CB75,CB50,CB43,CB27)&lt;&gt;"",SUM(CB93,CB82,CB75,CB50,CB43,CB27),"")</f>
        <v>0</v>
      </c>
      <c r="CC103" s="14"/>
      <c r="CD103" s="38">
        <f>IF(SUM(CD93,CD82,CD75,CD50,CD43,CD27)&lt;&gt;"",SUM(CD93,CD82,CD75,CD50,CD43,CD27),"")</f>
        <v>0</v>
      </c>
      <c r="CE103" s="14"/>
      <c r="CF103" s="101" t="str">
        <f>IF(CD103&lt;&gt;0,CD103/CD7,"")</f>
        <v/>
      </c>
      <c r="CH103" s="102" t="str">
        <f t="shared" ref="CH103" si="238">IF(CD103&lt;&gt;0,(CD103/CB103)-1,"")</f>
        <v/>
      </c>
      <c r="CJ103" s="38">
        <f>IF(SUM(CJ93,CJ82,CJ75,CJ50,CJ43,CJ27)&lt;&gt;"",SUM(CJ93,CJ82,CJ75,CJ50,CJ43,CJ27),"")</f>
        <v>0</v>
      </c>
      <c r="CK103" s="14"/>
      <c r="CL103" s="38">
        <f>IF(SUM(CL93,CL82,CL75,CL50,CL43,CL27)&lt;&gt;"",SUM(CL93,CL82,CL75,CL50,CL43,CL27),"")</f>
        <v>0</v>
      </c>
      <c r="CM103" s="14"/>
      <c r="CN103" s="101" t="str">
        <f>IF(CL103&lt;&gt;0,CL103/CL7,"")</f>
        <v/>
      </c>
      <c r="CP103" s="102" t="str">
        <f t="shared" ref="CP103" si="239">IF(CL103&lt;&gt;0,(CL103/CJ103)-1,"")</f>
        <v/>
      </c>
      <c r="CR103" s="38">
        <f>IF(SUM(CR93,CR82,CR75,CR50,CR43,CR27)&lt;&gt;"",SUM(CR93,CR82,CR75,CR50,CR43,CR27),"")</f>
        <v>0</v>
      </c>
      <c r="CS103" s="14"/>
      <c r="CT103" s="38">
        <f>IF(SUM(CT93,CT82,CT75,CT50,CT43,CT27)&lt;&gt;"",SUM(CT93,CT82,CT75,CT50,CT43,CT27),"")</f>
        <v>0</v>
      </c>
      <c r="CU103" s="14"/>
      <c r="CV103" s="101" t="str">
        <f>IF(CT103&lt;&gt;0,CT103/CT7,"")</f>
        <v/>
      </c>
      <c r="CX103" s="102" t="str">
        <f t="shared" ref="CX103" si="240">IF(CT103&lt;&gt;0,(CT103/CR103)-1,"")</f>
        <v/>
      </c>
    </row>
    <row r="104" spans="1:102" ht="9" customHeight="1" thickBot="1" x14ac:dyDescent="0.35">
      <c r="C104" s="39"/>
      <c r="F104" s="17"/>
      <c r="H104" s="36"/>
      <c r="J104" s="36"/>
      <c r="L104" s="31"/>
      <c r="N104" s="31"/>
      <c r="P104" s="36"/>
      <c r="Q104" s="14"/>
      <c r="R104" s="36"/>
      <c r="S104" s="14"/>
      <c r="T104" s="31"/>
      <c r="V104" s="31"/>
      <c r="X104" s="36"/>
      <c r="Y104" s="14"/>
      <c r="Z104" s="36"/>
      <c r="AA104" s="14"/>
      <c r="AB104" s="31"/>
      <c r="AC104" s="14"/>
      <c r="AD104" s="31"/>
      <c r="AF104" s="36"/>
      <c r="AG104" s="14"/>
      <c r="AH104" s="36"/>
      <c r="AI104" s="14"/>
      <c r="AJ104" s="31"/>
      <c r="AL104" s="31"/>
      <c r="AN104" s="36"/>
      <c r="AO104" s="14"/>
      <c r="AP104" s="36"/>
      <c r="AQ104" s="14"/>
      <c r="AR104" s="31"/>
      <c r="AT104" s="31"/>
      <c r="AV104" s="36"/>
      <c r="AW104" s="14"/>
      <c r="AX104" s="36"/>
      <c r="AY104" s="14"/>
      <c r="AZ104" s="31"/>
      <c r="BB104" s="31"/>
      <c r="BD104" s="36"/>
      <c r="BE104" s="14"/>
      <c r="BF104" s="36"/>
      <c r="BG104" s="14"/>
      <c r="BH104" s="31"/>
      <c r="BJ104" s="31"/>
      <c r="BL104" s="36"/>
      <c r="BM104" s="14"/>
      <c r="BN104" s="36"/>
      <c r="BO104" s="14"/>
      <c r="BP104" s="31"/>
      <c r="BR104" s="31"/>
      <c r="BT104" s="36"/>
      <c r="BU104" s="14"/>
      <c r="BV104" s="36"/>
      <c r="BW104" s="14"/>
      <c r="BX104" s="31"/>
      <c r="BZ104" s="31"/>
      <c r="CB104" s="36"/>
      <c r="CC104" s="14"/>
      <c r="CD104" s="36"/>
      <c r="CE104" s="14"/>
      <c r="CF104" s="31"/>
      <c r="CH104" s="31"/>
      <c r="CJ104" s="36"/>
      <c r="CK104" s="14"/>
      <c r="CL104" s="36"/>
      <c r="CM104" s="14"/>
      <c r="CN104" s="31"/>
      <c r="CP104" s="31"/>
      <c r="CR104" s="36"/>
      <c r="CS104" s="14"/>
      <c r="CT104" s="36"/>
      <c r="CU104" s="14"/>
      <c r="CV104" s="31"/>
      <c r="CX104" s="31"/>
    </row>
    <row r="105" spans="1:102" s="92" customFormat="1" ht="16.2" thickBot="1" x14ac:dyDescent="0.35">
      <c r="A105" s="87"/>
      <c r="B105" s="210" t="s">
        <v>31</v>
      </c>
      <c r="C105" s="211"/>
      <c r="D105" s="59" t="e">
        <f>AVERAGE(J105,R105,Z105,AH105,AP105,AX105,BF105,BN105,BV105,CD105,CL105,CT105)</f>
        <v>#DIV/0!</v>
      </c>
      <c r="E105" s="136">
        <f>SUM(J105,R105,Z105,AH105,AP105,AX105,BF105,BN105,BV105,CD105,CL105,CT105)</f>
        <v>0</v>
      </c>
      <c r="F105" s="58" t="e">
        <f>F23-F103</f>
        <v>#VALUE!</v>
      </c>
      <c r="H105" s="60" t="str">
        <f>IF(H23&lt;&gt;"",H23-H103,"")</f>
        <v/>
      </c>
      <c r="J105" s="60" t="str">
        <f>IF(J23&lt;&gt;"",J23-J103,"")</f>
        <v/>
      </c>
      <c r="L105" s="93" t="str">
        <f>IF(J105&lt;&gt;"",J105/J7,"")</f>
        <v/>
      </c>
      <c r="N105" s="61" t="str">
        <f>IF(J105&lt;&gt;"",(J105/$D105)-1,"")</f>
        <v/>
      </c>
      <c r="P105" s="60" t="str">
        <f>IF(P23&lt;&gt;"",P23-P103,"")</f>
        <v/>
      </c>
      <c r="R105" s="60" t="str">
        <f>IF(R23&lt;&gt;"",R23-R103,"")</f>
        <v/>
      </c>
      <c r="T105" s="93" t="str">
        <f>IF(R105&lt;&gt;"",R105/R7,"")</f>
        <v/>
      </c>
      <c r="V105" s="93" t="str">
        <f>IF(R105&lt;&gt;"",(R105/P105)-1,"")</f>
        <v/>
      </c>
      <c r="X105" s="60" t="str">
        <f>IF(X23&lt;&gt;"",X23-X103,"")</f>
        <v/>
      </c>
      <c r="Z105" s="60" t="str">
        <f>IF(Z23&lt;&gt;"",Z23-Z103,"")</f>
        <v/>
      </c>
      <c r="AB105" s="93" t="str">
        <f>IF(Z105&lt;&gt;"",Z105/Z7,"")</f>
        <v/>
      </c>
      <c r="AD105" s="93" t="str">
        <f>IF(Z105&lt;&gt;"",(Z105/X105)-1,"")</f>
        <v/>
      </c>
      <c r="AF105" s="60" t="str">
        <f>IF(AF23&lt;&gt;"",AF23-AF103,"")</f>
        <v/>
      </c>
      <c r="AH105" s="60" t="str">
        <f>IF(AH23&lt;&gt;"",AH23-AH103,"")</f>
        <v/>
      </c>
      <c r="AJ105" s="93" t="str">
        <f>IF(AH105&lt;&gt;"",AH105/AH7,"")</f>
        <v/>
      </c>
      <c r="AL105" s="93" t="str">
        <f>IF(AH105&lt;&gt;"",(AH105/AF105)-1,"")</f>
        <v/>
      </c>
      <c r="AN105" s="60" t="str">
        <f>IF(AN23&lt;&gt;"",AN23-AN103,"")</f>
        <v/>
      </c>
      <c r="AP105" s="60" t="str">
        <f>IF(AP23&lt;&gt;"",AP23-AP103,"")</f>
        <v/>
      </c>
      <c r="AR105" s="93" t="str">
        <f>IF(AP105&lt;&gt;"",AP105/AP7,"")</f>
        <v/>
      </c>
      <c r="AT105" s="93" t="str">
        <f>IF(AP105&lt;&gt;"",(AP105/AN105)-1,"")</f>
        <v/>
      </c>
      <c r="AV105" s="60" t="str">
        <f>IF(AV23&lt;&gt;"",AV23-AV103,"")</f>
        <v/>
      </c>
      <c r="AX105" s="60" t="str">
        <f>IF(AX23&lt;&gt;"",AX23-AX103,"")</f>
        <v/>
      </c>
      <c r="AZ105" s="93" t="str">
        <f>IF(AX105&lt;&gt;"",AX105/AX7,"")</f>
        <v/>
      </c>
      <c r="BB105" s="93" t="str">
        <f>IF(AX105&lt;&gt;"",(AX105/AV105)-1,"")</f>
        <v/>
      </c>
      <c r="BD105" s="60" t="str">
        <f>IF(BD23&lt;&gt;"",BD23-BD103,"")</f>
        <v/>
      </c>
      <c r="BF105" s="60" t="str">
        <f>IF(BF23&lt;&gt;"",BF23-BF103,"")</f>
        <v/>
      </c>
      <c r="BH105" s="93" t="str">
        <f>IF(BF105&lt;&gt;"",BF105/BF7,"")</f>
        <v/>
      </c>
      <c r="BJ105" s="93" t="str">
        <f>IF(BF105&lt;&gt;"",(BF105/BD105)-1,"")</f>
        <v/>
      </c>
      <c r="BL105" s="60" t="str">
        <f>IF(BL23&lt;&gt;"",BL23-BL103,"")</f>
        <v/>
      </c>
      <c r="BN105" s="60" t="str">
        <f>IF(BN23&lt;&gt;"",BN23-BN103,"")</f>
        <v/>
      </c>
      <c r="BP105" s="93" t="str">
        <f>IF(BN105&lt;&gt;"",BN105/BN7,"")</f>
        <v/>
      </c>
      <c r="BR105" s="93" t="str">
        <f>IF(BN105&lt;&gt;"",(BN105/BL105)-1,"")</f>
        <v/>
      </c>
      <c r="BT105" s="60" t="str">
        <f>IF(BT23&lt;&gt;"",BT23-BT103,"")</f>
        <v/>
      </c>
      <c r="BV105" s="60" t="str">
        <f>IF(BV23&lt;&gt;"",BV23-BV103,"")</f>
        <v/>
      </c>
      <c r="BX105" s="93" t="str">
        <f>IF(BV105&lt;&gt;"",BV105/BV7,"")</f>
        <v/>
      </c>
      <c r="BZ105" s="93" t="str">
        <f>IF(BV105&lt;&gt;"",(BV105/BT105)-1,"")</f>
        <v/>
      </c>
      <c r="CB105" s="60" t="str">
        <f>IF(CB23&lt;&gt;"",CB23-CB103,"")</f>
        <v/>
      </c>
      <c r="CD105" s="60" t="str">
        <f>IF(CD23&lt;&gt;"",CD23-CD103,"")</f>
        <v/>
      </c>
      <c r="CF105" s="93" t="str">
        <f>IF(CD105&lt;&gt;"",CD105/CD7,"")</f>
        <v/>
      </c>
      <c r="CH105" s="93" t="str">
        <f>IF(CD105&lt;&gt;"",(CD105/CB105)-1,"")</f>
        <v/>
      </c>
      <c r="CJ105" s="60" t="str">
        <f>IF(CJ23&lt;&gt;"",CJ23-CJ103,"")</f>
        <v/>
      </c>
      <c r="CL105" s="60" t="str">
        <f>IF(CL23&lt;&gt;"",CL23-CL103,"")</f>
        <v/>
      </c>
      <c r="CN105" s="93" t="str">
        <f>IF(CL105&lt;&gt;"",CL105/CL7,"")</f>
        <v/>
      </c>
      <c r="CP105" s="93" t="str">
        <f>IF(CL105&lt;&gt;"",(CL105/CJ105)-1,"")</f>
        <v/>
      </c>
      <c r="CR105" s="60" t="str">
        <f>IF(CR23&lt;&gt;"",CR23-CR103,"")</f>
        <v/>
      </c>
      <c r="CT105" s="60" t="str">
        <f>IF(CT23&lt;&gt;"",CT23-CT103,"")</f>
        <v/>
      </c>
      <c r="CV105" s="93" t="str">
        <f>IF(CT105&lt;&gt;"",CT105/CT7,"")</f>
        <v/>
      </c>
      <c r="CX105" s="93" t="str">
        <f>IF(CT105&lt;&gt;"",(CT105/CR105)-1,"")</f>
        <v/>
      </c>
    </row>
    <row r="106" spans="1:102" ht="9" customHeight="1" thickBot="1" x14ac:dyDescent="0.35">
      <c r="C106" s="39"/>
      <c r="F106" s="17"/>
      <c r="H106" s="36"/>
      <c r="J106" s="36"/>
      <c r="L106" s="31"/>
      <c r="N106" s="31"/>
      <c r="P106" s="36"/>
      <c r="Q106" s="14"/>
      <c r="R106" s="36"/>
      <c r="S106" s="14"/>
      <c r="T106" s="31"/>
      <c r="V106" s="31"/>
      <c r="X106" s="36"/>
      <c r="Y106" s="14"/>
      <c r="Z106" s="36"/>
      <c r="AA106" s="14"/>
      <c r="AB106" s="31"/>
      <c r="AC106" s="14"/>
      <c r="AD106" s="31"/>
      <c r="AF106" s="36"/>
      <c r="AG106" s="14"/>
      <c r="AH106" s="36"/>
      <c r="AI106" s="14"/>
      <c r="AJ106" s="31"/>
      <c r="AL106" s="31"/>
      <c r="AN106" s="36"/>
      <c r="AO106" s="14"/>
      <c r="AP106" s="36"/>
      <c r="AQ106" s="14"/>
      <c r="AR106" s="31"/>
      <c r="AT106" s="31"/>
      <c r="AV106" s="36"/>
      <c r="AW106" s="14"/>
      <c r="AX106" s="36"/>
      <c r="AY106" s="14"/>
      <c r="AZ106" s="31"/>
      <c r="BB106" s="31"/>
      <c r="BD106" s="36"/>
      <c r="BE106" s="14"/>
      <c r="BF106" s="36"/>
      <c r="BG106" s="14"/>
      <c r="BH106" s="31"/>
      <c r="BJ106" s="31"/>
      <c r="BL106" s="36"/>
      <c r="BM106" s="14"/>
      <c r="BN106" s="36"/>
      <c r="BO106" s="14"/>
      <c r="BP106" s="31"/>
      <c r="BR106" s="31"/>
      <c r="BT106" s="36"/>
      <c r="BU106" s="14"/>
      <c r="BV106" s="36"/>
      <c r="BW106" s="14"/>
      <c r="BX106" s="31"/>
      <c r="BZ106" s="31"/>
      <c r="CB106" s="36"/>
      <c r="CC106" s="14"/>
      <c r="CD106" s="36"/>
      <c r="CE106" s="14"/>
      <c r="CF106" s="31"/>
      <c r="CH106" s="31"/>
      <c r="CJ106" s="36"/>
      <c r="CK106" s="14"/>
      <c r="CL106" s="36"/>
      <c r="CM106" s="14"/>
      <c r="CN106" s="31"/>
      <c r="CP106" s="31"/>
      <c r="CR106" s="36"/>
      <c r="CS106" s="14"/>
      <c r="CT106" s="36"/>
      <c r="CU106" s="14"/>
      <c r="CV106" s="31"/>
      <c r="CX106" s="31"/>
    </row>
    <row r="107" spans="1:102" ht="16.2" thickBot="1" x14ac:dyDescent="0.35">
      <c r="B107" s="103" t="s">
        <v>39</v>
      </c>
      <c r="C107" s="23"/>
      <c r="D107" s="23"/>
      <c r="E107" s="129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3"/>
      <c r="CH107" s="23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</row>
    <row r="108" spans="1:102" ht="9" customHeight="1" thickBot="1" x14ac:dyDescent="0.35">
      <c r="C108" s="39"/>
      <c r="F108" s="17"/>
      <c r="H108" s="36"/>
      <c r="J108" s="36"/>
      <c r="L108" s="31"/>
      <c r="N108" s="31"/>
      <c r="P108" s="36"/>
      <c r="Q108" s="14"/>
      <c r="R108" s="36"/>
      <c r="S108" s="14"/>
      <c r="T108" s="31"/>
      <c r="V108" s="31"/>
      <c r="X108" s="36"/>
      <c r="Y108" s="14"/>
      <c r="Z108" s="36"/>
      <c r="AA108" s="14"/>
      <c r="AB108" s="31"/>
      <c r="AC108" s="14"/>
      <c r="AD108" s="31"/>
      <c r="AF108" s="36"/>
      <c r="AG108" s="14"/>
      <c r="AH108" s="36"/>
      <c r="AI108" s="14"/>
      <c r="AJ108" s="31"/>
      <c r="AL108" s="31"/>
      <c r="AN108" s="36"/>
      <c r="AO108" s="14"/>
      <c r="AP108" s="36"/>
      <c r="AQ108" s="14"/>
      <c r="AR108" s="31"/>
      <c r="AT108" s="31"/>
      <c r="AV108" s="36"/>
      <c r="AW108" s="14"/>
      <c r="AX108" s="36"/>
      <c r="AY108" s="14"/>
      <c r="AZ108" s="31"/>
      <c r="BB108" s="31"/>
      <c r="BD108" s="36"/>
      <c r="BE108" s="14"/>
      <c r="BF108" s="36"/>
      <c r="BG108" s="14"/>
      <c r="BH108" s="31"/>
      <c r="BJ108" s="31"/>
      <c r="BL108" s="36"/>
      <c r="BM108" s="14"/>
      <c r="BN108" s="36"/>
      <c r="BO108" s="14"/>
      <c r="BP108" s="31"/>
      <c r="BR108" s="31"/>
      <c r="BT108" s="36"/>
      <c r="BU108" s="14"/>
      <c r="BV108" s="36"/>
      <c r="BW108" s="14"/>
      <c r="BX108" s="31"/>
      <c r="BZ108" s="31"/>
      <c r="CB108" s="36"/>
      <c r="CC108" s="14"/>
      <c r="CD108" s="36"/>
      <c r="CE108" s="14"/>
      <c r="CF108" s="31"/>
      <c r="CH108" s="31"/>
      <c r="CJ108" s="36"/>
      <c r="CK108" s="14"/>
      <c r="CL108" s="36"/>
      <c r="CM108" s="14"/>
      <c r="CN108" s="31"/>
      <c r="CP108" s="31"/>
      <c r="CR108" s="36"/>
      <c r="CS108" s="14"/>
      <c r="CT108" s="36"/>
      <c r="CU108" s="14"/>
      <c r="CV108" s="31"/>
      <c r="CX108" s="31"/>
    </row>
    <row r="109" spans="1:102" ht="16.2" thickBot="1" x14ac:dyDescent="0.35">
      <c r="B109" s="208" t="s">
        <v>40</v>
      </c>
      <c r="C109" s="212"/>
      <c r="D109" s="104" t="e">
        <f t="shared" ref="D109:F109" si="241">IF(SUM(D110:D112)&lt;&gt;0,SUM(D110:D112),"")</f>
        <v>#DIV/0!</v>
      </c>
      <c r="E109" s="137" t="str">
        <f t="shared" si="241"/>
        <v/>
      </c>
      <c r="F109" s="75" t="str">
        <f t="shared" si="241"/>
        <v/>
      </c>
      <c r="H109" s="38">
        <f>IF(SUM(H110:H112)&lt;&gt;"",SUM(H110:H112),"")</f>
        <v>0</v>
      </c>
      <c r="J109" s="38">
        <f>IF(SUM(J110:J112)&lt;&gt;"",SUM(J110:J112),"")</f>
        <v>0</v>
      </c>
      <c r="L109" s="53" t="str">
        <f>IF(SUM(L110:L112)&lt;&gt;0,SUM(L110:L112),"")</f>
        <v/>
      </c>
      <c r="N109" s="30" t="e">
        <f>IF(J109&lt;&gt;"",(J109/$D109)-1,"")</f>
        <v>#DIV/0!</v>
      </c>
      <c r="P109" s="38">
        <f>IF(SUM(P110:P112)&lt;&gt;"",SUM(P110:P112),"")</f>
        <v>0</v>
      </c>
      <c r="Q109" s="14"/>
      <c r="R109" s="38">
        <f>IF(SUM(R110:R112)&lt;&gt;"",SUM(R110:R112),"")</f>
        <v>0</v>
      </c>
      <c r="S109" s="14"/>
      <c r="T109" s="53" t="str">
        <f>IF(SUM(T110:T112)&lt;&gt;0,SUM(T110:T112),"")</f>
        <v/>
      </c>
      <c r="V109" s="94" t="str">
        <f t="shared" ref="V109:V112" si="242">IF(R109&lt;&gt;0,(R109/P109)-1,"")</f>
        <v/>
      </c>
      <c r="X109" s="38">
        <f>IF(SUM(X110:X112)&lt;&gt;"",SUM(X110:X112),"")</f>
        <v>0</v>
      </c>
      <c r="Y109" s="14"/>
      <c r="Z109" s="38">
        <f>IF(SUM(Z110:Z112)&lt;&gt;"",SUM(Z110:Z112),"")</f>
        <v>0</v>
      </c>
      <c r="AA109" s="14"/>
      <c r="AB109" s="53" t="str">
        <f>IF(SUM(AB110:AB112)&lt;&gt;0,SUM(AB110:AB112),"")</f>
        <v/>
      </c>
      <c r="AC109" s="14"/>
      <c r="AD109" s="94" t="str">
        <f t="shared" ref="AD109:AD112" si="243">IF(Z109&lt;&gt;0,(Z109/X109)-1,"")</f>
        <v/>
      </c>
      <c r="AF109" s="38">
        <f>IF(SUM(AF110:AF112)&lt;&gt;"",SUM(AF110:AF112),"")</f>
        <v>0</v>
      </c>
      <c r="AG109" s="14"/>
      <c r="AH109" s="38">
        <f>IF(SUM(AH110:AH112)&lt;&gt;"",SUM(AH110:AH112),"")</f>
        <v>0</v>
      </c>
      <c r="AI109" s="14"/>
      <c r="AJ109" s="53" t="str">
        <f>IF(SUM(AJ110:AJ112)&lt;&gt;0,SUM(AJ110:AJ112),"")</f>
        <v/>
      </c>
      <c r="AL109" s="94" t="str">
        <f t="shared" ref="AL109:AL112" si="244">IF(AH109&lt;&gt;0,(AH109/AF109)-1,"")</f>
        <v/>
      </c>
      <c r="AN109" s="38">
        <f>IF(SUM(AN110:AN112)&lt;&gt;"",SUM(AN110:AN112),"")</f>
        <v>0</v>
      </c>
      <c r="AO109" s="14"/>
      <c r="AP109" s="38">
        <f>IF(SUM(AP110:AP112)&lt;&gt;"",SUM(AP110:AP112),"")</f>
        <v>0</v>
      </c>
      <c r="AQ109" s="14"/>
      <c r="AR109" s="53" t="str">
        <f>IF(SUM(AR110:AR112)&lt;&gt;0,SUM(AR110:AR112),"")</f>
        <v/>
      </c>
      <c r="AT109" s="94" t="str">
        <f t="shared" ref="AT109:AT112" si="245">IF(AP109&lt;&gt;0,(AP109/AN109)-1,"")</f>
        <v/>
      </c>
      <c r="AV109" s="38">
        <f>IF(SUM(AV110:AV112)&lt;&gt;"",SUM(AV110:AV112),"")</f>
        <v>0</v>
      </c>
      <c r="AW109" s="14"/>
      <c r="AX109" s="38">
        <f>IF(SUM(AX110:AX112)&lt;&gt;"",SUM(AX110:AX112),"")</f>
        <v>0</v>
      </c>
      <c r="AY109" s="14"/>
      <c r="AZ109" s="53" t="str">
        <f>IF(SUM(AZ110:AZ112)&lt;&gt;0,SUM(AZ110:AZ112),"")</f>
        <v/>
      </c>
      <c r="BB109" s="94" t="str">
        <f t="shared" ref="BB109:BB112" si="246">IF(AX109&lt;&gt;0,(AX109/AV109)-1,"")</f>
        <v/>
      </c>
      <c r="BD109" s="38">
        <f>IF(SUM(BD110:BD112)&lt;&gt;"",SUM(BD110:BD112),"")</f>
        <v>0</v>
      </c>
      <c r="BE109" s="14"/>
      <c r="BF109" s="38">
        <f>IF(SUM(BF110:BF112)&lt;&gt;"",SUM(BF110:BF112),"")</f>
        <v>0</v>
      </c>
      <c r="BG109" s="14"/>
      <c r="BH109" s="53" t="str">
        <f>IF(SUM(BH110:BH112)&lt;&gt;0,SUM(BH110:BH112),"")</f>
        <v/>
      </c>
      <c r="BJ109" s="94" t="str">
        <f t="shared" ref="BJ109:BJ112" si="247">IF(BF109&lt;&gt;0,(BF109/BD109)-1,"")</f>
        <v/>
      </c>
      <c r="BL109" s="38">
        <f>IF(SUM(BL110:BL112)&lt;&gt;"",SUM(BL110:BL112),"")</f>
        <v>0</v>
      </c>
      <c r="BM109" s="14"/>
      <c r="BN109" s="38">
        <f>IF(SUM(BN110:BN112)&lt;&gt;"",SUM(BN110:BN112),"")</f>
        <v>0</v>
      </c>
      <c r="BO109" s="14"/>
      <c r="BP109" s="53" t="str">
        <f>IF(SUM(BP110:BP112)&lt;&gt;0,SUM(BP110:BP112),"")</f>
        <v/>
      </c>
      <c r="BR109" s="94" t="str">
        <f t="shared" ref="BR109:BR112" si="248">IF(BN109&lt;&gt;0,(BN109/BL109)-1,"")</f>
        <v/>
      </c>
      <c r="BT109" s="38">
        <f>IF(SUM(BT110:BT112)&lt;&gt;"",SUM(BT110:BT112),"")</f>
        <v>0</v>
      </c>
      <c r="BU109" s="14"/>
      <c r="BV109" s="38">
        <f>IF(SUM(BV110:BV112)&lt;&gt;"",SUM(BV110:BV112),"")</f>
        <v>0</v>
      </c>
      <c r="BW109" s="14"/>
      <c r="BX109" s="53" t="str">
        <f>IF(SUM(BX110:BX112)&lt;&gt;0,SUM(BX110:BX112),"")</f>
        <v/>
      </c>
      <c r="BZ109" s="94" t="str">
        <f t="shared" ref="BZ109:BZ112" si="249">IF(BV109&lt;&gt;0,(BV109/BT109)-1,"")</f>
        <v/>
      </c>
      <c r="CB109" s="38">
        <f>IF(SUM(CB110:CB112)&lt;&gt;"",SUM(CB110:CB112),"")</f>
        <v>0</v>
      </c>
      <c r="CC109" s="14"/>
      <c r="CD109" s="38">
        <f>IF(SUM(CD110:CD112)&lt;&gt;"",SUM(CD110:CD112),"")</f>
        <v>0</v>
      </c>
      <c r="CE109" s="14"/>
      <c r="CF109" s="53" t="str">
        <f>IF(SUM(CF110:CF112)&lt;&gt;0,SUM(CF110:CF112),"")</f>
        <v/>
      </c>
      <c r="CH109" s="94" t="str">
        <f t="shared" ref="CH109:CH112" si="250">IF(CD109&lt;&gt;0,(CD109/CB109)-1,"")</f>
        <v/>
      </c>
      <c r="CJ109" s="38">
        <f>IF(SUM(CJ110:CJ112)&lt;&gt;"",SUM(CJ110:CJ112),"")</f>
        <v>0</v>
      </c>
      <c r="CK109" s="14"/>
      <c r="CL109" s="38">
        <f>IF(SUM(CL110:CL112)&lt;&gt;"",SUM(CL110:CL112),"")</f>
        <v>0</v>
      </c>
      <c r="CM109" s="14"/>
      <c r="CN109" s="53" t="str">
        <f>IF(SUM(CN110:CN112)&lt;&gt;0,SUM(CN110:CN112),"")</f>
        <v/>
      </c>
      <c r="CP109" s="94" t="str">
        <f t="shared" ref="CP109:CP112" si="251">IF(CL109&lt;&gt;0,(CL109/CJ109)-1,"")</f>
        <v/>
      </c>
      <c r="CR109" s="38">
        <f>IF(SUM(CR110:CR112)&lt;&gt;"",SUM(CR110:CR112),"")</f>
        <v>0</v>
      </c>
      <c r="CS109" s="14"/>
      <c r="CT109" s="38">
        <f>IF(SUM(CT110:CT112)&lt;&gt;"",SUM(CT110:CT112),"")</f>
        <v>0</v>
      </c>
      <c r="CU109" s="14"/>
      <c r="CV109" s="53" t="str">
        <f>IF(SUM(CV110:CV112)&lt;&gt;0,SUM(CV110:CV112),"")</f>
        <v/>
      </c>
      <c r="CX109" s="94" t="str">
        <f t="shared" ref="CX109:CX112" si="252">IF(CT109&lt;&gt;0,(CT109/CR109)-1,"")</f>
        <v/>
      </c>
    </row>
    <row r="110" spans="1:102" ht="15.6" x14ac:dyDescent="0.3">
      <c r="B110" s="66"/>
      <c r="C110" s="67" t="s">
        <v>29</v>
      </c>
      <c r="D110" s="70" t="e">
        <f>IF(AVERAGE(J110,R110,Z110,AH110,AP110,AX110,BF110,BN110,BV110,CD110,CL110,CT110)&lt;&gt;"",AVERAGE(J110,R110,Z110,AH110,AP110,AX110,BF110,BN110,BV110,CD110,CL110,CT110),"")</f>
        <v>#DIV/0!</v>
      </c>
      <c r="E110" s="130">
        <f>IF(SUM(J110,R110,Z110,AH110,AP110,AX110,BF110,BN110,BV110,CD110,CL110,CT110)&lt;&gt;"",SUM(J110,R110,Z110,AH110,AP110,AX110,BF110,BN110,BV110,CD110,CL110,CT110),"")</f>
        <v>0</v>
      </c>
      <c r="F110" s="72" t="str">
        <f t="shared" ref="F110:F112" si="253">IF(E110&lt;&gt;0,E110/E$7,"")</f>
        <v/>
      </c>
      <c r="H110" s="63"/>
      <c r="J110" s="150"/>
      <c r="L110" s="28" t="str">
        <f>IF(J110&lt;&gt;"",J110/J$7,"")</f>
        <v/>
      </c>
      <c r="N110" s="90" t="str">
        <f t="shared" ref="N110:N112" si="254">IF(J110&lt;&gt;0,(J110/D110)-1,"")</f>
        <v/>
      </c>
      <c r="P110" s="63"/>
      <c r="Q110" s="14"/>
      <c r="R110" s="150"/>
      <c r="S110" s="14"/>
      <c r="T110" s="28" t="str">
        <f>IF(R110&lt;&gt;"",R110/R$7,"")</f>
        <v/>
      </c>
      <c r="V110" s="90" t="str">
        <f t="shared" si="242"/>
        <v/>
      </c>
      <c r="X110" s="63"/>
      <c r="Y110" s="14"/>
      <c r="Z110" s="150"/>
      <c r="AA110" s="14"/>
      <c r="AB110" s="28" t="str">
        <f>IF(Z110&lt;&gt;"",Z110/Z$7,"")</f>
        <v/>
      </c>
      <c r="AC110" s="14"/>
      <c r="AD110" s="90" t="str">
        <f t="shared" si="243"/>
        <v/>
      </c>
      <c r="AF110" s="63"/>
      <c r="AG110" s="14"/>
      <c r="AH110" s="150"/>
      <c r="AI110" s="14"/>
      <c r="AJ110" s="28" t="str">
        <f>IF(AH110&lt;&gt;"",AH110/AH$7,"")</f>
        <v/>
      </c>
      <c r="AL110" s="90" t="str">
        <f t="shared" si="244"/>
        <v/>
      </c>
      <c r="AN110" s="63"/>
      <c r="AO110" s="14"/>
      <c r="AP110" s="150"/>
      <c r="AQ110" s="14"/>
      <c r="AR110" s="28" t="str">
        <f>IF(AP110&lt;&gt;"",AP110/AP$7,"")</f>
        <v/>
      </c>
      <c r="AT110" s="90" t="str">
        <f t="shared" si="245"/>
        <v/>
      </c>
      <c r="AV110" s="63"/>
      <c r="AW110" s="14"/>
      <c r="AX110" s="150"/>
      <c r="AY110" s="14"/>
      <c r="AZ110" s="28" t="str">
        <f>IF(AX110&lt;&gt;"",AX110/AX$7,"")</f>
        <v/>
      </c>
      <c r="BB110" s="90" t="str">
        <f t="shared" si="246"/>
        <v/>
      </c>
      <c r="BD110" s="63"/>
      <c r="BE110" s="14"/>
      <c r="BF110" s="150"/>
      <c r="BG110" s="14"/>
      <c r="BH110" s="28" t="str">
        <f>IF(BF110&lt;&gt;"",BF110/BF$7,"")</f>
        <v/>
      </c>
      <c r="BJ110" s="90" t="str">
        <f t="shared" si="247"/>
        <v/>
      </c>
      <c r="BL110" s="63"/>
      <c r="BM110" s="14"/>
      <c r="BN110" s="150"/>
      <c r="BO110" s="14"/>
      <c r="BP110" s="28" t="str">
        <f>IF(BN110&lt;&gt;"",BN110/BN$7,"")</f>
        <v/>
      </c>
      <c r="BR110" s="90" t="str">
        <f t="shared" si="248"/>
        <v/>
      </c>
      <c r="BT110" s="63"/>
      <c r="BU110" s="14"/>
      <c r="BV110" s="150"/>
      <c r="BW110" s="14"/>
      <c r="BX110" s="28" t="str">
        <f>IF(BV110&lt;&gt;"",BV110/BV$7,"")</f>
        <v/>
      </c>
      <c r="BZ110" s="90" t="str">
        <f t="shared" si="249"/>
        <v/>
      </c>
      <c r="CB110" s="63"/>
      <c r="CC110" s="14"/>
      <c r="CD110" s="150"/>
      <c r="CE110" s="14"/>
      <c r="CF110" s="28" t="str">
        <f>IF(CD110&lt;&gt;"",CD110/CD$7,"")</f>
        <v/>
      </c>
      <c r="CH110" s="90" t="str">
        <f t="shared" si="250"/>
        <v/>
      </c>
      <c r="CJ110" s="63"/>
      <c r="CK110" s="14"/>
      <c r="CL110" s="150"/>
      <c r="CM110" s="14"/>
      <c r="CN110" s="28" t="str">
        <f>IF(CL110&lt;&gt;"",CL110/CL$7,"")</f>
        <v/>
      </c>
      <c r="CP110" s="90" t="str">
        <f t="shared" si="251"/>
        <v/>
      </c>
      <c r="CR110" s="63"/>
      <c r="CS110" s="14"/>
      <c r="CT110" s="150"/>
      <c r="CU110" s="14"/>
      <c r="CV110" s="28" t="str">
        <f>IF(CT110&lt;&gt;"",CT110/CT$7,"")</f>
        <v/>
      </c>
      <c r="CX110" s="90" t="str">
        <f t="shared" si="252"/>
        <v/>
      </c>
    </row>
    <row r="111" spans="1:102" ht="15.6" x14ac:dyDescent="0.3">
      <c r="B111" s="47"/>
      <c r="C111" s="21" t="s">
        <v>150</v>
      </c>
      <c r="D111" s="70" t="e">
        <f>IF(AVERAGE(J111,R111,Z111,AH111,AP111,AX111,BF111,BN111,BV111,CD111,CL111,CT111)&lt;&gt;"",AVERAGE(J111,R111,Z111,AH111,AP111,AX111,BF111,BN111,BV111,CD111,CL111,CT111),"")</f>
        <v>#DIV/0!</v>
      </c>
      <c r="E111" s="130">
        <f>IF(SUM(J111,R111,Z111,AH111,AP111,AX111,BF111,BN111,BV111,CD111,CL111,CT111)&lt;&gt;"",SUM(J111,R111,Z111,AH111,AP111,AX111,BF111,BN111,BV111,CD111,CL111,CT111),"")</f>
        <v>0</v>
      </c>
      <c r="F111" s="73" t="str">
        <f t="shared" ref="F111" si="255">IF(E111&lt;&gt;0,E111/E$7,"")</f>
        <v/>
      </c>
      <c r="H111" s="35"/>
      <c r="J111" s="147"/>
      <c r="L111" s="28" t="str">
        <f>IF(J111&lt;&gt;"",J111/J$7,"")</f>
        <v/>
      </c>
      <c r="N111" s="90" t="str">
        <f t="shared" ref="N111" si="256">IF(J111&lt;&gt;0,(J111/D111)-1,"")</f>
        <v/>
      </c>
      <c r="P111" s="35"/>
      <c r="Q111" s="14"/>
      <c r="R111" s="147"/>
      <c r="S111" s="14"/>
      <c r="T111" s="28" t="str">
        <f>IF(R111&lt;&gt;"",R111/R$7,"")</f>
        <v/>
      </c>
      <c r="V111" s="90" t="str">
        <f t="shared" ref="V111" si="257">IF(R111&lt;&gt;0,(R111/P111)-1,"")</f>
        <v/>
      </c>
      <c r="X111" s="35"/>
      <c r="Y111" s="14"/>
      <c r="Z111" s="147"/>
      <c r="AA111" s="14"/>
      <c r="AB111" s="28" t="str">
        <f>IF(Z111&lt;&gt;"",Z111/Z$7,"")</f>
        <v/>
      </c>
      <c r="AC111" s="14"/>
      <c r="AD111" s="90" t="str">
        <f t="shared" ref="AD111" si="258">IF(Z111&lt;&gt;0,(Z111/X111)-1,"")</f>
        <v/>
      </c>
      <c r="AF111" s="35"/>
      <c r="AG111" s="14"/>
      <c r="AH111" s="147"/>
      <c r="AI111" s="14"/>
      <c r="AJ111" s="28" t="str">
        <f>IF(AH111&lt;&gt;"",AH111/AH$7,"")</f>
        <v/>
      </c>
      <c r="AL111" s="90" t="str">
        <f t="shared" ref="AL111" si="259">IF(AH111&lt;&gt;0,(AH111/AF111)-1,"")</f>
        <v/>
      </c>
      <c r="AN111" s="35"/>
      <c r="AO111" s="14"/>
      <c r="AP111" s="147"/>
      <c r="AQ111" s="14"/>
      <c r="AR111" s="28" t="str">
        <f>IF(AP111&lt;&gt;"",AP111/AP$7,"")</f>
        <v/>
      </c>
      <c r="AT111" s="90" t="str">
        <f t="shared" ref="AT111" si="260">IF(AP111&lt;&gt;0,(AP111/AN111)-1,"")</f>
        <v/>
      </c>
      <c r="AV111" s="35"/>
      <c r="AW111" s="14"/>
      <c r="AX111" s="147"/>
      <c r="AY111" s="14"/>
      <c r="AZ111" s="28" t="str">
        <f>IF(AX111&lt;&gt;"",AX111/AX$7,"")</f>
        <v/>
      </c>
      <c r="BB111" s="90" t="str">
        <f t="shared" ref="BB111" si="261">IF(AX111&lt;&gt;0,(AX111/AV111)-1,"")</f>
        <v/>
      </c>
      <c r="BD111" s="35"/>
      <c r="BE111" s="14"/>
      <c r="BF111" s="147"/>
      <c r="BG111" s="14"/>
      <c r="BH111" s="28" t="str">
        <f>IF(BF111&lt;&gt;"",BF111/BF$7,"")</f>
        <v/>
      </c>
      <c r="BJ111" s="90" t="str">
        <f t="shared" ref="BJ111" si="262">IF(BF111&lt;&gt;0,(BF111/BD111)-1,"")</f>
        <v/>
      </c>
      <c r="BL111" s="35"/>
      <c r="BM111" s="14"/>
      <c r="BN111" s="147"/>
      <c r="BO111" s="14"/>
      <c r="BP111" s="28" t="str">
        <f>IF(BN111&lt;&gt;"",BN111/BN$7,"")</f>
        <v/>
      </c>
      <c r="BR111" s="90" t="str">
        <f t="shared" ref="BR111" si="263">IF(BN111&lt;&gt;0,(BN111/BL111)-1,"")</f>
        <v/>
      </c>
      <c r="BT111" s="35"/>
      <c r="BU111" s="14"/>
      <c r="BV111" s="147"/>
      <c r="BW111" s="14"/>
      <c r="BX111" s="28" t="str">
        <f>IF(BV111&lt;&gt;"",BV111/BV$7,"")</f>
        <v/>
      </c>
      <c r="BZ111" s="90" t="str">
        <f t="shared" ref="BZ111" si="264">IF(BV111&lt;&gt;0,(BV111/BT111)-1,"")</f>
        <v/>
      </c>
      <c r="CB111" s="35"/>
      <c r="CC111" s="14"/>
      <c r="CD111" s="147"/>
      <c r="CE111" s="14"/>
      <c r="CF111" s="28" t="str">
        <f>IF(CD111&lt;&gt;"",CD111/CD$7,"")</f>
        <v/>
      </c>
      <c r="CH111" s="90" t="str">
        <f t="shared" ref="CH111" si="265">IF(CD111&lt;&gt;0,(CD111/CB111)-1,"")</f>
        <v/>
      </c>
      <c r="CJ111" s="35"/>
      <c r="CK111" s="14"/>
      <c r="CL111" s="147"/>
      <c r="CM111" s="14"/>
      <c r="CN111" s="28" t="str">
        <f>IF(CL111&lt;&gt;"",CL111/CL$7,"")</f>
        <v/>
      </c>
      <c r="CP111" s="90" t="str">
        <f t="shared" ref="CP111" si="266">IF(CL111&lt;&gt;0,(CL111/CJ111)-1,"")</f>
        <v/>
      </c>
      <c r="CR111" s="35"/>
      <c r="CS111" s="14"/>
      <c r="CT111" s="147"/>
      <c r="CU111" s="14"/>
      <c r="CV111" s="28" t="str">
        <f>IF(CT111&lt;&gt;"",CT111/CT$7,"")</f>
        <v/>
      </c>
      <c r="CX111" s="90" t="str">
        <f t="shared" ref="CX111" si="267">IF(CT111&lt;&gt;0,(CT111/CR111)-1,"")</f>
        <v/>
      </c>
    </row>
    <row r="112" spans="1:102" ht="16.2" thickBot="1" x14ac:dyDescent="0.35">
      <c r="B112" s="52"/>
      <c r="C112" s="68" t="s">
        <v>45</v>
      </c>
      <c r="D112" s="71" t="e">
        <f>IF(AVERAGE(J112,R112,Z112,AH112,AP112,AX112,BF112,BN112,BV112,CD112,CL112,CT112)&lt;&gt;"",AVERAGE(J112,R112,Z112,AH112,AP112,AX112,BF112,BN112,BV112,CD112,CL112,CT112),"")</f>
        <v>#DIV/0!</v>
      </c>
      <c r="E112" s="133">
        <f>IF(SUM(J112,R112,Z112,AH112,AP112,AX112,BF112,BN112,BV112,CD112,CL112,CT112)&lt;&gt;"",SUM(J112,R112,Z112,AH112,AP112,AX112,BF112,BN112,BV112,CD112,CL112,CT112),"")</f>
        <v>0</v>
      </c>
      <c r="F112" s="74" t="str">
        <f t="shared" si="253"/>
        <v/>
      </c>
      <c r="H112" s="64"/>
      <c r="J112" s="149"/>
      <c r="L112" s="28" t="str">
        <f>IF(J112&lt;&gt;"",J112/J$7,"")</f>
        <v/>
      </c>
      <c r="N112" s="90" t="str">
        <f t="shared" si="254"/>
        <v/>
      </c>
      <c r="P112" s="64"/>
      <c r="Q112" s="14"/>
      <c r="R112" s="149"/>
      <c r="S112" s="14"/>
      <c r="T112" s="28" t="str">
        <f>IF(R112&lt;&gt;"",R112/R$7,"")</f>
        <v/>
      </c>
      <c r="V112" s="90" t="str">
        <f t="shared" si="242"/>
        <v/>
      </c>
      <c r="X112" s="64"/>
      <c r="Y112" s="14"/>
      <c r="Z112" s="149"/>
      <c r="AA112" s="14"/>
      <c r="AB112" s="28" t="str">
        <f>IF(Z112&lt;&gt;"",Z112/Z$7,"")</f>
        <v/>
      </c>
      <c r="AC112" s="14"/>
      <c r="AD112" s="90" t="str">
        <f t="shared" si="243"/>
        <v/>
      </c>
      <c r="AF112" s="64"/>
      <c r="AG112" s="14"/>
      <c r="AH112" s="149"/>
      <c r="AI112" s="14"/>
      <c r="AJ112" s="28" t="str">
        <f>IF(AH112&lt;&gt;"",AH112/AH$7,"")</f>
        <v/>
      </c>
      <c r="AL112" s="90" t="str">
        <f t="shared" si="244"/>
        <v/>
      </c>
      <c r="AN112" s="64"/>
      <c r="AO112" s="14"/>
      <c r="AP112" s="149"/>
      <c r="AQ112" s="14"/>
      <c r="AR112" s="28" t="str">
        <f>IF(AP112&lt;&gt;"",AP112/AP$7,"")</f>
        <v/>
      </c>
      <c r="AT112" s="90" t="str">
        <f t="shared" si="245"/>
        <v/>
      </c>
      <c r="AV112" s="64"/>
      <c r="AW112" s="14"/>
      <c r="AX112" s="149"/>
      <c r="AY112" s="14"/>
      <c r="AZ112" s="28" t="str">
        <f>IF(AX112&lt;&gt;"",AX112/AX$7,"")</f>
        <v/>
      </c>
      <c r="BB112" s="90" t="str">
        <f t="shared" si="246"/>
        <v/>
      </c>
      <c r="BD112" s="64"/>
      <c r="BE112" s="14"/>
      <c r="BF112" s="149"/>
      <c r="BG112" s="14"/>
      <c r="BH112" s="28" t="str">
        <f>IF(BF112&lt;&gt;"",BF112/BF$7,"")</f>
        <v/>
      </c>
      <c r="BJ112" s="90" t="str">
        <f t="shared" si="247"/>
        <v/>
      </c>
      <c r="BL112" s="64"/>
      <c r="BM112" s="14"/>
      <c r="BN112" s="149"/>
      <c r="BO112" s="14"/>
      <c r="BP112" s="28" t="str">
        <f>IF(BN112&lt;&gt;"",BN112/BN$7,"")</f>
        <v/>
      </c>
      <c r="BR112" s="90" t="str">
        <f t="shared" si="248"/>
        <v/>
      </c>
      <c r="BT112" s="64"/>
      <c r="BU112" s="14"/>
      <c r="BV112" s="149"/>
      <c r="BW112" s="14"/>
      <c r="BX112" s="28" t="str">
        <f>IF(BV112&lt;&gt;"",BV112/BV$7,"")</f>
        <v/>
      </c>
      <c r="BZ112" s="90" t="str">
        <f t="shared" si="249"/>
        <v/>
      </c>
      <c r="CB112" s="64"/>
      <c r="CC112" s="14"/>
      <c r="CD112" s="149"/>
      <c r="CE112" s="14"/>
      <c r="CF112" s="28" t="str">
        <f>IF(CD112&lt;&gt;"",CD112/CD$7,"")</f>
        <v/>
      </c>
      <c r="CH112" s="90" t="str">
        <f t="shared" si="250"/>
        <v/>
      </c>
      <c r="CJ112" s="64"/>
      <c r="CK112" s="14"/>
      <c r="CL112" s="149"/>
      <c r="CM112" s="14"/>
      <c r="CN112" s="28" t="str">
        <f>IF(CL112&lt;&gt;"",CL112/CL$7,"")</f>
        <v/>
      </c>
      <c r="CP112" s="90" t="str">
        <f t="shared" si="251"/>
        <v/>
      </c>
      <c r="CR112" s="64"/>
      <c r="CS112" s="14"/>
      <c r="CT112" s="149"/>
      <c r="CU112" s="14"/>
      <c r="CV112" s="28" t="str">
        <f>IF(CT112&lt;&gt;"",CT112/CT$7,"")</f>
        <v/>
      </c>
      <c r="CX112" s="90" t="str">
        <f t="shared" si="252"/>
        <v/>
      </c>
    </row>
    <row r="113" spans="1:102" ht="9" customHeight="1" thickBot="1" x14ac:dyDescent="0.35">
      <c r="C113" s="39"/>
      <c r="F113" s="17"/>
      <c r="H113" s="36"/>
      <c r="J113" s="36"/>
      <c r="L113" s="31"/>
      <c r="N113" s="31"/>
      <c r="P113" s="36"/>
      <c r="Q113" s="14"/>
      <c r="R113" s="36"/>
      <c r="S113" s="14"/>
      <c r="T113" s="31"/>
      <c r="V113" s="31"/>
      <c r="X113" s="36"/>
      <c r="Y113" s="14"/>
      <c r="Z113" s="36"/>
      <c r="AA113" s="14"/>
      <c r="AB113" s="31"/>
      <c r="AC113" s="14"/>
      <c r="AD113" s="31"/>
      <c r="AF113" s="36"/>
      <c r="AG113" s="14"/>
      <c r="AH113" s="36"/>
      <c r="AI113" s="14"/>
      <c r="AJ113" s="31"/>
      <c r="AL113" s="31"/>
      <c r="AN113" s="36"/>
      <c r="AO113" s="14"/>
      <c r="AP113" s="36"/>
      <c r="AQ113" s="14"/>
      <c r="AR113" s="31"/>
      <c r="AT113" s="31"/>
      <c r="AV113" s="36"/>
      <c r="AW113" s="14"/>
      <c r="AX113" s="36"/>
      <c r="AY113" s="14"/>
      <c r="AZ113" s="31"/>
      <c r="BB113" s="31"/>
      <c r="BD113" s="36"/>
      <c r="BE113" s="14"/>
      <c r="BF113" s="36"/>
      <c r="BG113" s="14"/>
      <c r="BH113" s="31"/>
      <c r="BJ113" s="31"/>
      <c r="BL113" s="36"/>
      <c r="BM113" s="14"/>
      <c r="BN113" s="36"/>
      <c r="BO113" s="14"/>
      <c r="BP113" s="31"/>
      <c r="BR113" s="31"/>
      <c r="BT113" s="36"/>
      <c r="BU113" s="14"/>
      <c r="BV113" s="36"/>
      <c r="BW113" s="14"/>
      <c r="BX113" s="31"/>
      <c r="BZ113" s="31"/>
      <c r="CB113" s="36"/>
      <c r="CC113" s="14"/>
      <c r="CD113" s="36"/>
      <c r="CE113" s="14"/>
      <c r="CF113" s="31"/>
      <c r="CH113" s="31"/>
      <c r="CJ113" s="36"/>
      <c r="CK113" s="14"/>
      <c r="CL113" s="36"/>
      <c r="CM113" s="14"/>
      <c r="CN113" s="31"/>
      <c r="CP113" s="31"/>
      <c r="CR113" s="36"/>
      <c r="CS113" s="14"/>
      <c r="CT113" s="36"/>
      <c r="CU113" s="14"/>
      <c r="CV113" s="31"/>
      <c r="CX113" s="31"/>
    </row>
    <row r="114" spans="1:102" ht="16.2" thickBot="1" x14ac:dyDescent="0.35">
      <c r="B114" s="208" t="s">
        <v>135</v>
      </c>
      <c r="C114" s="209"/>
      <c r="D114" s="104" t="e">
        <f t="shared" ref="D114:F114" si="268">IF(SUM(D115:D120)&lt;&gt;0,SUM(D115:D120),"")</f>
        <v>#DIV/0!</v>
      </c>
      <c r="E114" s="137" t="str">
        <f t="shared" si="268"/>
        <v/>
      </c>
      <c r="F114" s="75" t="str">
        <f t="shared" si="268"/>
        <v/>
      </c>
      <c r="H114" s="29">
        <f>IF(SUM(H115:H120)&lt;&gt;"",SUM(H115:H120),"")</f>
        <v>0</v>
      </c>
      <c r="J114" s="29">
        <f>IF(SUM(J115:J120)&lt;&gt;"",SUM(J115:J120),"")</f>
        <v>0</v>
      </c>
      <c r="L114" s="53" t="str">
        <f>IF(SUM(L115:L120)&lt;&gt;0,SUM(L115:L120),"")</f>
        <v/>
      </c>
      <c r="N114" s="30" t="e">
        <f>IF(J114&lt;&gt;"",(J114/$D114)-1,"")</f>
        <v>#DIV/0!</v>
      </c>
      <c r="P114" s="29">
        <f>IF(SUM(P115:P120)&lt;&gt;"",SUM(P115:P120),"")</f>
        <v>0</v>
      </c>
      <c r="Q114" s="14"/>
      <c r="R114" s="29">
        <f>IF(SUM(R115:R120)&lt;&gt;"",SUM(R115:R120),"")</f>
        <v>0</v>
      </c>
      <c r="S114" s="14"/>
      <c r="T114" s="53" t="str">
        <f>IF(SUM(T115:T120)&lt;&gt;0,SUM(T115:T120),"")</f>
        <v/>
      </c>
      <c r="V114" s="94" t="str">
        <f t="shared" ref="V114:V120" si="269">IF(R114&lt;&gt;0,(R114/P114)-1,"")</f>
        <v/>
      </c>
      <c r="X114" s="29">
        <f>IF(SUM(X115:X120)&lt;&gt;"",SUM(X115:X120),"")</f>
        <v>0</v>
      </c>
      <c r="Y114" s="14"/>
      <c r="Z114" s="29">
        <f>IF(SUM(Z115:Z120)&lt;&gt;"",SUM(Z115:Z120),"")</f>
        <v>0</v>
      </c>
      <c r="AA114" s="14"/>
      <c r="AB114" s="53" t="str">
        <f>IF(SUM(AB115:AB120)&lt;&gt;0,SUM(AB115:AB120),"")</f>
        <v/>
      </c>
      <c r="AC114" s="14"/>
      <c r="AD114" s="94" t="str">
        <f t="shared" ref="AD114:AD120" si="270">IF(Z114&lt;&gt;0,(Z114/X114)-1,"")</f>
        <v/>
      </c>
      <c r="AF114" s="29">
        <f>IF(SUM(AF115:AF120)&lt;&gt;"",SUM(AF115:AF120),"")</f>
        <v>0</v>
      </c>
      <c r="AG114" s="14"/>
      <c r="AH114" s="29">
        <f>IF(SUM(AH115:AH120)&lt;&gt;"",SUM(AH115:AH120),"")</f>
        <v>0</v>
      </c>
      <c r="AI114" s="14"/>
      <c r="AJ114" s="53" t="str">
        <f>IF(SUM(AJ115:AJ120)&lt;&gt;0,SUM(AJ115:AJ120),"")</f>
        <v/>
      </c>
      <c r="AL114" s="94" t="str">
        <f t="shared" ref="AL114:AL120" si="271">IF(AH114&lt;&gt;0,(AH114/AF114)-1,"")</f>
        <v/>
      </c>
      <c r="AN114" s="29">
        <f>IF(SUM(AN115:AN120)&lt;&gt;"",SUM(AN115:AN120),"")</f>
        <v>0</v>
      </c>
      <c r="AO114" s="14"/>
      <c r="AP114" s="29">
        <f>IF(SUM(AP115:AP120)&lt;&gt;"",SUM(AP115:AP120),"")</f>
        <v>0</v>
      </c>
      <c r="AQ114" s="14"/>
      <c r="AR114" s="53" t="str">
        <f>IF(SUM(AR115:AR120)&lt;&gt;0,SUM(AR115:AR120),"")</f>
        <v/>
      </c>
      <c r="AT114" s="94" t="str">
        <f t="shared" ref="AT114:AT120" si="272">IF(AP114&lt;&gt;0,(AP114/AN114)-1,"")</f>
        <v/>
      </c>
      <c r="AV114" s="29">
        <f>IF(SUM(AV115:AV120)&lt;&gt;"",SUM(AV115:AV120),"")</f>
        <v>0</v>
      </c>
      <c r="AW114" s="14"/>
      <c r="AX114" s="29">
        <f>IF(SUM(AX115:AX120)&lt;&gt;"",SUM(AX115:AX120),"")</f>
        <v>0</v>
      </c>
      <c r="AY114" s="14"/>
      <c r="AZ114" s="53" t="str">
        <f>IF(SUM(AZ115:AZ120)&lt;&gt;0,SUM(AZ115:AZ120),"")</f>
        <v/>
      </c>
      <c r="BB114" s="94" t="str">
        <f t="shared" ref="BB114:BB120" si="273">IF(AX114&lt;&gt;0,(AX114/AV114)-1,"")</f>
        <v/>
      </c>
      <c r="BD114" s="29">
        <f>IF(SUM(BD115:BD120)&lt;&gt;"",SUM(BD115:BD120),"")</f>
        <v>0</v>
      </c>
      <c r="BE114" s="14"/>
      <c r="BF114" s="29">
        <f>IF(SUM(BF115:BF120)&lt;&gt;"",SUM(BF115:BF120),"")</f>
        <v>0</v>
      </c>
      <c r="BG114" s="14"/>
      <c r="BH114" s="53" t="str">
        <f>IF(SUM(BH115:BH120)&lt;&gt;0,SUM(BH115:BH120),"")</f>
        <v/>
      </c>
      <c r="BJ114" s="94" t="str">
        <f t="shared" ref="BJ114:BJ120" si="274">IF(BF114&lt;&gt;0,(BF114/BD114)-1,"")</f>
        <v/>
      </c>
      <c r="BL114" s="29">
        <f>IF(SUM(BL115:BL120)&lt;&gt;"",SUM(BL115:BL120),"")</f>
        <v>0</v>
      </c>
      <c r="BM114" s="14"/>
      <c r="BN114" s="29">
        <f>IF(SUM(BN115:BN120)&lt;&gt;"",SUM(BN115:BN120),"")</f>
        <v>0</v>
      </c>
      <c r="BO114" s="14"/>
      <c r="BP114" s="53" t="str">
        <f>IF(SUM(BP115:BP120)&lt;&gt;0,SUM(BP115:BP120),"")</f>
        <v/>
      </c>
      <c r="BR114" s="94" t="str">
        <f t="shared" ref="BR114:BR120" si="275">IF(BN114&lt;&gt;0,(BN114/BL114)-1,"")</f>
        <v/>
      </c>
      <c r="BT114" s="29">
        <f>IF(SUM(BT115:BT120)&lt;&gt;"",SUM(BT115:BT120),"")</f>
        <v>0</v>
      </c>
      <c r="BU114" s="14"/>
      <c r="BV114" s="29">
        <f>IF(SUM(BV115:BV120)&lt;&gt;"",SUM(BV115:BV120),"")</f>
        <v>0</v>
      </c>
      <c r="BW114" s="14"/>
      <c r="BX114" s="53" t="str">
        <f>IF(SUM(BX115:BX120)&lt;&gt;0,SUM(BX115:BX120),"")</f>
        <v/>
      </c>
      <c r="BZ114" s="94" t="str">
        <f t="shared" ref="BZ114:BZ120" si="276">IF(BV114&lt;&gt;0,(BV114/BT114)-1,"")</f>
        <v/>
      </c>
      <c r="CB114" s="29">
        <f>IF(SUM(CB115:CB120)&lt;&gt;"",SUM(CB115:CB120),"")</f>
        <v>0</v>
      </c>
      <c r="CC114" s="14"/>
      <c r="CD114" s="29">
        <f>IF(SUM(CD115:CD120)&lt;&gt;"",SUM(CD115:CD120),"")</f>
        <v>0</v>
      </c>
      <c r="CE114" s="14"/>
      <c r="CF114" s="53" t="str">
        <f>IF(SUM(CF115:CF120)&lt;&gt;0,SUM(CF115:CF120),"")</f>
        <v/>
      </c>
      <c r="CH114" s="94" t="str">
        <f t="shared" ref="CH114:CH120" si="277">IF(CD114&lt;&gt;0,(CD114/CB114)-1,"")</f>
        <v/>
      </c>
      <c r="CJ114" s="29">
        <f>IF(SUM(CJ115:CJ120)&lt;&gt;"",SUM(CJ115:CJ120),"")</f>
        <v>0</v>
      </c>
      <c r="CK114" s="14"/>
      <c r="CL114" s="29">
        <f>IF(SUM(CL115:CL120)&lt;&gt;"",SUM(CL115:CL120),"")</f>
        <v>0</v>
      </c>
      <c r="CM114" s="14"/>
      <c r="CN114" s="53" t="str">
        <f>IF(SUM(CN115:CN120)&lt;&gt;0,SUM(CN115:CN120),"")</f>
        <v/>
      </c>
      <c r="CP114" s="94" t="str">
        <f t="shared" ref="CP114:CP120" si="278">IF(CL114&lt;&gt;0,(CL114/CJ114)-1,"")</f>
        <v/>
      </c>
      <c r="CR114" s="29">
        <f>IF(SUM(CR115:CR120)&lt;&gt;"",SUM(CR115:CR120),"")</f>
        <v>0</v>
      </c>
      <c r="CS114" s="14"/>
      <c r="CT114" s="29">
        <f>IF(SUM(CT115:CT120)&lt;&gt;"",SUM(CT115:CT120),"")</f>
        <v>0</v>
      </c>
      <c r="CU114" s="14"/>
      <c r="CV114" s="53" t="str">
        <f>IF(SUM(CV115:CV120)&lt;&gt;0,SUM(CV115:CV120),"")</f>
        <v/>
      </c>
      <c r="CX114" s="94" t="str">
        <f t="shared" ref="CX114:CX120" si="279">IF(CT114&lt;&gt;0,(CT114/CR114)-1,"")</f>
        <v/>
      </c>
    </row>
    <row r="115" spans="1:102" ht="15.6" x14ac:dyDescent="0.3">
      <c r="B115" s="46"/>
      <c r="C115" s="21" t="s">
        <v>32</v>
      </c>
      <c r="D115" s="70" t="e">
        <f t="shared" ref="D115:D120" si="280">IF(AVERAGE(J115,R115,Z115,AH115,AP115,AX115,BF115,BN115,BV115,CD115,CL115,CT115)&lt;&gt;"",AVERAGE(J115,R115,Z115,AH115,AP115,AX115,BF115,BN115,BV115,CD115,CL115,CT115),"")</f>
        <v>#DIV/0!</v>
      </c>
      <c r="E115" s="130">
        <f t="shared" ref="E115:E120" si="281">IF(SUM(J115,R115,Z115,AH115,AP115,AX115,BF115,BN115,BV115,CD115,CL115,CT115)&lt;&gt;"",SUM(J115,R115,Z115,AH115,AP115,AX115,BF115,BN115,BV115,CD115,CL115,CT115),"")</f>
        <v>0</v>
      </c>
      <c r="F115" s="73" t="str">
        <f t="shared" ref="F115:F120" si="282">IF(E115&lt;&gt;0,E115/E$7,"")</f>
        <v/>
      </c>
      <c r="H115" s="26"/>
      <c r="J115" s="151"/>
      <c r="L115" s="28" t="str">
        <f>IF(J115&lt;&gt;"",J115/J$7,"")</f>
        <v/>
      </c>
      <c r="N115" s="90" t="str">
        <f t="shared" ref="N115:N120" si="283">IF(J115&lt;&gt;0,(J115/D115)-1,"")</f>
        <v/>
      </c>
      <c r="P115" s="26"/>
      <c r="Q115" s="14"/>
      <c r="R115" s="151"/>
      <c r="S115" s="14"/>
      <c r="T115" s="28" t="str">
        <f>IF(R115&lt;&gt;"",R115/R$7,"")</f>
        <v/>
      </c>
      <c r="V115" s="90" t="str">
        <f t="shared" si="269"/>
        <v/>
      </c>
      <c r="X115" s="26"/>
      <c r="Y115" s="14"/>
      <c r="Z115" s="151"/>
      <c r="AA115" s="14"/>
      <c r="AB115" s="28" t="str">
        <f>IF(Z115&lt;&gt;"",Z115/Z$7,"")</f>
        <v/>
      </c>
      <c r="AC115" s="14"/>
      <c r="AD115" s="90" t="str">
        <f t="shared" si="270"/>
        <v/>
      </c>
      <c r="AF115" s="26"/>
      <c r="AG115" s="14"/>
      <c r="AH115" s="151"/>
      <c r="AI115" s="14"/>
      <c r="AJ115" s="28" t="str">
        <f>IF(AH115&lt;&gt;"",AH115/AH$7,"")</f>
        <v/>
      </c>
      <c r="AL115" s="90" t="str">
        <f t="shared" si="271"/>
        <v/>
      </c>
      <c r="AN115" s="26"/>
      <c r="AO115" s="14"/>
      <c r="AP115" s="151"/>
      <c r="AQ115" s="14"/>
      <c r="AR115" s="28" t="str">
        <f>IF(AP115&lt;&gt;"",AP115/AP$7,"")</f>
        <v/>
      </c>
      <c r="AT115" s="90" t="str">
        <f t="shared" si="272"/>
        <v/>
      </c>
      <c r="AV115" s="26"/>
      <c r="AW115" s="14"/>
      <c r="AX115" s="151"/>
      <c r="AY115" s="14"/>
      <c r="AZ115" s="28" t="str">
        <f>IF(AX115&lt;&gt;"",AX115/AX$7,"")</f>
        <v/>
      </c>
      <c r="BB115" s="90" t="str">
        <f t="shared" si="273"/>
        <v/>
      </c>
      <c r="BD115" s="26"/>
      <c r="BE115" s="14"/>
      <c r="BF115" s="151"/>
      <c r="BG115" s="14"/>
      <c r="BH115" s="28" t="str">
        <f>IF(BF115&lt;&gt;"",BF115/BF$7,"")</f>
        <v/>
      </c>
      <c r="BJ115" s="90" t="str">
        <f t="shared" si="274"/>
        <v/>
      </c>
      <c r="BL115" s="26"/>
      <c r="BM115" s="14"/>
      <c r="BN115" s="151"/>
      <c r="BO115" s="14"/>
      <c r="BP115" s="28" t="str">
        <f>IF(BN115&lt;&gt;"",BN115/BN$7,"")</f>
        <v/>
      </c>
      <c r="BR115" s="90" t="str">
        <f t="shared" si="275"/>
        <v/>
      </c>
      <c r="BT115" s="26"/>
      <c r="BU115" s="14"/>
      <c r="BV115" s="151"/>
      <c r="BW115" s="14"/>
      <c r="BX115" s="28" t="str">
        <f>IF(BV115&lt;&gt;"",BV115/BV$7,"")</f>
        <v/>
      </c>
      <c r="BZ115" s="90" t="str">
        <f t="shared" si="276"/>
        <v/>
      </c>
      <c r="CB115" s="26"/>
      <c r="CC115" s="14"/>
      <c r="CD115" s="151"/>
      <c r="CE115" s="14"/>
      <c r="CF115" s="28" t="str">
        <f>IF(CD115&lt;&gt;"",CD115/CD$7,"")</f>
        <v/>
      </c>
      <c r="CH115" s="90" t="str">
        <f t="shared" si="277"/>
        <v/>
      </c>
      <c r="CJ115" s="26"/>
      <c r="CK115" s="14"/>
      <c r="CL115" s="151"/>
      <c r="CM115" s="14"/>
      <c r="CN115" s="28" t="str">
        <f>IF(CL115&lt;&gt;"",CL115/CL$7,"")</f>
        <v/>
      </c>
      <c r="CP115" s="90" t="str">
        <f t="shared" si="278"/>
        <v/>
      </c>
      <c r="CR115" s="26"/>
      <c r="CS115" s="14"/>
      <c r="CT115" s="151"/>
      <c r="CU115" s="14"/>
      <c r="CV115" s="28" t="str">
        <f>IF(CT115&lt;&gt;"",CT115/CT$7,"")</f>
        <v/>
      </c>
      <c r="CX115" s="90" t="str">
        <f t="shared" si="279"/>
        <v/>
      </c>
    </row>
    <row r="116" spans="1:102" ht="15.6" x14ac:dyDescent="0.3">
      <c r="B116" s="47"/>
      <c r="C116" s="21" t="s">
        <v>33</v>
      </c>
      <c r="D116" s="70" t="e">
        <f t="shared" si="280"/>
        <v>#DIV/0!</v>
      </c>
      <c r="E116" s="130">
        <f t="shared" si="281"/>
        <v>0</v>
      </c>
      <c r="F116" s="73" t="str">
        <f t="shared" si="282"/>
        <v/>
      </c>
      <c r="H116" s="27"/>
      <c r="J116" s="146"/>
      <c r="L116" s="28" t="str">
        <f>IF(J116&lt;&gt;"",J116/J$7,"")</f>
        <v/>
      </c>
      <c r="N116" s="90" t="str">
        <f t="shared" si="283"/>
        <v/>
      </c>
      <c r="P116" s="27"/>
      <c r="Q116" s="14"/>
      <c r="R116" s="146"/>
      <c r="S116" s="14"/>
      <c r="T116" s="28" t="str">
        <f>IF(R116&lt;&gt;"",R116/R$7,"")</f>
        <v/>
      </c>
      <c r="V116" s="90" t="str">
        <f t="shared" si="269"/>
        <v/>
      </c>
      <c r="X116" s="27"/>
      <c r="Y116" s="14"/>
      <c r="Z116" s="146"/>
      <c r="AA116" s="14"/>
      <c r="AB116" s="28" t="str">
        <f>IF(Z116&lt;&gt;"",Z116/Z$7,"")</f>
        <v/>
      </c>
      <c r="AC116" s="14"/>
      <c r="AD116" s="90" t="str">
        <f t="shared" si="270"/>
        <v/>
      </c>
      <c r="AF116" s="27"/>
      <c r="AG116" s="14"/>
      <c r="AH116" s="146"/>
      <c r="AI116" s="14"/>
      <c r="AJ116" s="28" t="str">
        <f>IF(AH116&lt;&gt;"",AH116/AH$7,"")</f>
        <v/>
      </c>
      <c r="AL116" s="90" t="str">
        <f t="shared" si="271"/>
        <v/>
      </c>
      <c r="AN116" s="27"/>
      <c r="AO116" s="14"/>
      <c r="AP116" s="146"/>
      <c r="AQ116" s="14"/>
      <c r="AR116" s="28" t="str">
        <f>IF(AP116&lt;&gt;"",AP116/AP$7,"")</f>
        <v/>
      </c>
      <c r="AT116" s="90" t="str">
        <f t="shared" si="272"/>
        <v/>
      </c>
      <c r="AV116" s="27"/>
      <c r="AW116" s="14"/>
      <c r="AX116" s="146"/>
      <c r="AY116" s="14"/>
      <c r="AZ116" s="28" t="str">
        <f>IF(AX116&lt;&gt;"",AX116/AX$7,"")</f>
        <v/>
      </c>
      <c r="BB116" s="90" t="str">
        <f t="shared" si="273"/>
        <v/>
      </c>
      <c r="BD116" s="27"/>
      <c r="BE116" s="14"/>
      <c r="BF116" s="146"/>
      <c r="BG116" s="14"/>
      <c r="BH116" s="28" t="str">
        <f>IF(BF116&lt;&gt;"",BF116/BF$7,"")</f>
        <v/>
      </c>
      <c r="BJ116" s="90" t="str">
        <f t="shared" si="274"/>
        <v/>
      </c>
      <c r="BL116" s="27"/>
      <c r="BM116" s="14"/>
      <c r="BN116" s="146"/>
      <c r="BO116" s="14"/>
      <c r="BP116" s="28" t="str">
        <f>IF(BN116&lt;&gt;"",BN116/BN$7,"")</f>
        <v/>
      </c>
      <c r="BR116" s="90" t="str">
        <f t="shared" si="275"/>
        <v/>
      </c>
      <c r="BT116" s="27"/>
      <c r="BU116" s="14"/>
      <c r="BV116" s="146"/>
      <c r="BW116" s="14"/>
      <c r="BX116" s="28" t="str">
        <f>IF(BV116&lt;&gt;"",BV116/BV$7,"")</f>
        <v/>
      </c>
      <c r="BZ116" s="90" t="str">
        <f t="shared" si="276"/>
        <v/>
      </c>
      <c r="CB116" s="27"/>
      <c r="CC116" s="14"/>
      <c r="CD116" s="146"/>
      <c r="CE116" s="14"/>
      <c r="CF116" s="28" t="str">
        <f>IF(CD116&lt;&gt;"",CD116/CD$7,"")</f>
        <v/>
      </c>
      <c r="CH116" s="90" t="str">
        <f t="shared" si="277"/>
        <v/>
      </c>
      <c r="CJ116" s="27"/>
      <c r="CK116" s="14"/>
      <c r="CL116" s="146"/>
      <c r="CM116" s="14"/>
      <c r="CN116" s="28" t="str">
        <f>IF(CL116&lt;&gt;"",CL116/CL$7,"")</f>
        <v/>
      </c>
      <c r="CP116" s="90" t="str">
        <f t="shared" si="278"/>
        <v/>
      </c>
      <c r="CR116" s="27"/>
      <c r="CS116" s="14"/>
      <c r="CT116" s="146"/>
      <c r="CU116" s="14"/>
      <c r="CV116" s="28" t="str">
        <f>IF(CT116&lt;&gt;"",CT116/CT$7,"")</f>
        <v/>
      </c>
      <c r="CX116" s="90" t="str">
        <f t="shared" si="279"/>
        <v/>
      </c>
    </row>
    <row r="117" spans="1:102" ht="15.6" x14ac:dyDescent="0.3">
      <c r="B117" s="47"/>
      <c r="C117" s="21" t="s">
        <v>34</v>
      </c>
      <c r="D117" s="70" t="e">
        <f t="shared" si="280"/>
        <v>#DIV/0!</v>
      </c>
      <c r="E117" s="130">
        <f t="shared" si="281"/>
        <v>0</v>
      </c>
      <c r="F117" s="73" t="str">
        <f t="shared" si="282"/>
        <v/>
      </c>
      <c r="H117" s="35"/>
      <c r="J117" s="147"/>
      <c r="L117" s="28" t="str">
        <f t="shared" ref="L117:L120" si="284">IF(J117&lt;&gt;"",J117/J$7,"")</f>
        <v/>
      </c>
      <c r="N117" s="90" t="str">
        <f t="shared" si="283"/>
        <v/>
      </c>
      <c r="P117" s="35"/>
      <c r="Q117" s="14"/>
      <c r="R117" s="147"/>
      <c r="S117" s="14"/>
      <c r="T117" s="28" t="str">
        <f t="shared" ref="T117:T120" si="285">IF(R117&lt;&gt;"",R117/R$7,"")</f>
        <v/>
      </c>
      <c r="V117" s="90" t="str">
        <f t="shared" si="269"/>
        <v/>
      </c>
      <c r="X117" s="35"/>
      <c r="Y117" s="14"/>
      <c r="Z117" s="147"/>
      <c r="AA117" s="14"/>
      <c r="AB117" s="28" t="str">
        <f t="shared" ref="AB117:AB120" si="286">IF(Z117&lt;&gt;"",Z117/Z$7,"")</f>
        <v/>
      </c>
      <c r="AC117" s="14"/>
      <c r="AD117" s="90" t="str">
        <f t="shared" si="270"/>
        <v/>
      </c>
      <c r="AF117" s="35"/>
      <c r="AG117" s="14"/>
      <c r="AH117" s="147"/>
      <c r="AI117" s="14"/>
      <c r="AJ117" s="28" t="str">
        <f t="shared" ref="AJ117:AJ120" si="287">IF(AH117&lt;&gt;"",AH117/AH$7,"")</f>
        <v/>
      </c>
      <c r="AL117" s="90" t="str">
        <f t="shared" si="271"/>
        <v/>
      </c>
      <c r="AN117" s="35"/>
      <c r="AO117" s="14"/>
      <c r="AP117" s="147"/>
      <c r="AQ117" s="14"/>
      <c r="AR117" s="28" t="str">
        <f t="shared" ref="AR117:AR120" si="288">IF(AP117&lt;&gt;"",AP117/AP$7,"")</f>
        <v/>
      </c>
      <c r="AT117" s="90" t="str">
        <f t="shared" si="272"/>
        <v/>
      </c>
      <c r="AV117" s="35"/>
      <c r="AW117" s="14"/>
      <c r="AX117" s="147"/>
      <c r="AY117" s="14"/>
      <c r="AZ117" s="28" t="str">
        <f t="shared" ref="AZ117:AZ120" si="289">IF(AX117&lt;&gt;"",AX117/AX$7,"")</f>
        <v/>
      </c>
      <c r="BB117" s="90" t="str">
        <f t="shared" si="273"/>
        <v/>
      </c>
      <c r="BD117" s="35"/>
      <c r="BE117" s="14"/>
      <c r="BF117" s="147"/>
      <c r="BG117" s="14"/>
      <c r="BH117" s="28" t="str">
        <f t="shared" ref="BH117:BH120" si="290">IF(BF117&lt;&gt;"",BF117/BF$7,"")</f>
        <v/>
      </c>
      <c r="BJ117" s="90" t="str">
        <f t="shared" si="274"/>
        <v/>
      </c>
      <c r="BL117" s="35"/>
      <c r="BM117" s="14"/>
      <c r="BN117" s="147"/>
      <c r="BO117" s="14"/>
      <c r="BP117" s="28" t="str">
        <f t="shared" ref="BP117:BP120" si="291">IF(BN117&lt;&gt;"",BN117/BN$7,"")</f>
        <v/>
      </c>
      <c r="BR117" s="90" t="str">
        <f t="shared" si="275"/>
        <v/>
      </c>
      <c r="BT117" s="35"/>
      <c r="BU117" s="14"/>
      <c r="BV117" s="147"/>
      <c r="BW117" s="14"/>
      <c r="BX117" s="28" t="str">
        <f t="shared" ref="BX117:BX120" si="292">IF(BV117&lt;&gt;"",BV117/BV$7,"")</f>
        <v/>
      </c>
      <c r="BZ117" s="90" t="str">
        <f t="shared" si="276"/>
        <v/>
      </c>
      <c r="CB117" s="35"/>
      <c r="CC117" s="14"/>
      <c r="CD117" s="147"/>
      <c r="CE117" s="14"/>
      <c r="CF117" s="28" t="str">
        <f t="shared" ref="CF117:CF120" si="293">IF(CD117&lt;&gt;"",CD117/CD$7,"")</f>
        <v/>
      </c>
      <c r="CH117" s="90" t="str">
        <f t="shared" si="277"/>
        <v/>
      </c>
      <c r="CJ117" s="35"/>
      <c r="CK117" s="14"/>
      <c r="CL117" s="147"/>
      <c r="CM117" s="14"/>
      <c r="CN117" s="28" t="str">
        <f t="shared" ref="CN117:CN120" si="294">IF(CL117&lt;&gt;"",CL117/CL$7,"")</f>
        <v/>
      </c>
      <c r="CP117" s="90" t="str">
        <f t="shared" si="278"/>
        <v/>
      </c>
      <c r="CR117" s="35"/>
      <c r="CS117" s="14"/>
      <c r="CT117" s="147"/>
      <c r="CU117" s="14"/>
      <c r="CV117" s="28" t="str">
        <f t="shared" ref="CV117:CV120" si="295">IF(CT117&lt;&gt;"",CT117/CT$7,"")</f>
        <v/>
      </c>
      <c r="CX117" s="90" t="str">
        <f t="shared" si="279"/>
        <v/>
      </c>
    </row>
    <row r="118" spans="1:102" ht="15.6" x14ac:dyDescent="0.3">
      <c r="B118" s="47"/>
      <c r="C118" s="21" t="s">
        <v>35</v>
      </c>
      <c r="D118" s="70" t="e">
        <f t="shared" si="280"/>
        <v>#DIV/0!</v>
      </c>
      <c r="E118" s="130">
        <f t="shared" si="281"/>
        <v>0</v>
      </c>
      <c r="F118" s="73" t="str">
        <f t="shared" si="282"/>
        <v/>
      </c>
      <c r="H118" s="27"/>
      <c r="J118" s="146"/>
      <c r="L118" s="28" t="str">
        <f t="shared" si="284"/>
        <v/>
      </c>
      <c r="N118" s="90" t="str">
        <f t="shared" si="283"/>
        <v/>
      </c>
      <c r="P118" s="27"/>
      <c r="Q118" s="14"/>
      <c r="R118" s="146"/>
      <c r="S118" s="14"/>
      <c r="T118" s="28" t="str">
        <f t="shared" si="285"/>
        <v/>
      </c>
      <c r="V118" s="90" t="str">
        <f t="shared" si="269"/>
        <v/>
      </c>
      <c r="X118" s="27"/>
      <c r="Y118" s="14"/>
      <c r="Z118" s="146"/>
      <c r="AA118" s="14"/>
      <c r="AB118" s="28" t="str">
        <f t="shared" si="286"/>
        <v/>
      </c>
      <c r="AC118" s="14"/>
      <c r="AD118" s="90" t="str">
        <f t="shared" si="270"/>
        <v/>
      </c>
      <c r="AF118" s="27"/>
      <c r="AG118" s="14"/>
      <c r="AH118" s="146"/>
      <c r="AI118" s="14"/>
      <c r="AJ118" s="28" t="str">
        <f t="shared" si="287"/>
        <v/>
      </c>
      <c r="AL118" s="90" t="str">
        <f t="shared" si="271"/>
        <v/>
      </c>
      <c r="AN118" s="27"/>
      <c r="AO118" s="14"/>
      <c r="AP118" s="146"/>
      <c r="AQ118" s="14"/>
      <c r="AR118" s="28" t="str">
        <f t="shared" si="288"/>
        <v/>
      </c>
      <c r="AT118" s="90" t="str">
        <f t="shared" si="272"/>
        <v/>
      </c>
      <c r="AV118" s="27"/>
      <c r="AW118" s="14"/>
      <c r="AX118" s="146"/>
      <c r="AY118" s="14"/>
      <c r="AZ118" s="28" t="str">
        <f t="shared" si="289"/>
        <v/>
      </c>
      <c r="BB118" s="90" t="str">
        <f t="shared" si="273"/>
        <v/>
      </c>
      <c r="BD118" s="27"/>
      <c r="BE118" s="14"/>
      <c r="BF118" s="146"/>
      <c r="BG118" s="14"/>
      <c r="BH118" s="28" t="str">
        <f t="shared" si="290"/>
        <v/>
      </c>
      <c r="BJ118" s="90" t="str">
        <f t="shared" si="274"/>
        <v/>
      </c>
      <c r="BL118" s="27"/>
      <c r="BM118" s="14"/>
      <c r="BN118" s="146"/>
      <c r="BO118" s="14"/>
      <c r="BP118" s="28" t="str">
        <f t="shared" si="291"/>
        <v/>
      </c>
      <c r="BR118" s="90" t="str">
        <f t="shared" si="275"/>
        <v/>
      </c>
      <c r="BT118" s="27"/>
      <c r="BU118" s="14"/>
      <c r="BV118" s="146"/>
      <c r="BW118" s="14"/>
      <c r="BX118" s="28" t="str">
        <f t="shared" si="292"/>
        <v/>
      </c>
      <c r="BZ118" s="90" t="str">
        <f t="shared" si="276"/>
        <v/>
      </c>
      <c r="CB118" s="27"/>
      <c r="CC118" s="14"/>
      <c r="CD118" s="146"/>
      <c r="CE118" s="14"/>
      <c r="CF118" s="28" t="str">
        <f t="shared" si="293"/>
        <v/>
      </c>
      <c r="CH118" s="90" t="str">
        <f t="shared" si="277"/>
        <v/>
      </c>
      <c r="CJ118" s="27"/>
      <c r="CK118" s="14"/>
      <c r="CL118" s="146"/>
      <c r="CM118" s="14"/>
      <c r="CN118" s="28" t="str">
        <f t="shared" si="294"/>
        <v/>
      </c>
      <c r="CP118" s="90" t="str">
        <f t="shared" si="278"/>
        <v/>
      </c>
      <c r="CR118" s="27"/>
      <c r="CS118" s="14"/>
      <c r="CT118" s="146"/>
      <c r="CU118" s="14"/>
      <c r="CV118" s="28" t="str">
        <f t="shared" si="295"/>
        <v/>
      </c>
      <c r="CX118" s="90" t="str">
        <f t="shared" si="279"/>
        <v/>
      </c>
    </row>
    <row r="119" spans="1:102" ht="15.6" x14ac:dyDescent="0.3">
      <c r="B119" s="49"/>
      <c r="C119" s="22" t="s">
        <v>36</v>
      </c>
      <c r="D119" s="109" t="e">
        <f t="shared" si="280"/>
        <v>#DIV/0!</v>
      </c>
      <c r="E119" s="130">
        <f t="shared" si="281"/>
        <v>0</v>
      </c>
      <c r="F119" s="73" t="str">
        <f t="shared" si="282"/>
        <v/>
      </c>
      <c r="H119" s="27"/>
      <c r="J119" s="146"/>
      <c r="L119" s="28" t="str">
        <f t="shared" si="284"/>
        <v/>
      </c>
      <c r="N119" s="90" t="str">
        <f t="shared" si="283"/>
        <v/>
      </c>
      <c r="P119" s="27"/>
      <c r="Q119" s="14"/>
      <c r="R119" s="146"/>
      <c r="S119" s="14"/>
      <c r="T119" s="28" t="str">
        <f t="shared" si="285"/>
        <v/>
      </c>
      <c r="V119" s="90" t="str">
        <f t="shared" si="269"/>
        <v/>
      </c>
      <c r="X119" s="27"/>
      <c r="Y119" s="14"/>
      <c r="Z119" s="146"/>
      <c r="AA119" s="14"/>
      <c r="AB119" s="28" t="str">
        <f t="shared" si="286"/>
        <v/>
      </c>
      <c r="AC119" s="14"/>
      <c r="AD119" s="90" t="str">
        <f t="shared" si="270"/>
        <v/>
      </c>
      <c r="AF119" s="27"/>
      <c r="AG119" s="14"/>
      <c r="AH119" s="146"/>
      <c r="AI119" s="14"/>
      <c r="AJ119" s="28" t="str">
        <f t="shared" si="287"/>
        <v/>
      </c>
      <c r="AL119" s="90" t="str">
        <f t="shared" si="271"/>
        <v/>
      </c>
      <c r="AN119" s="27"/>
      <c r="AO119" s="14"/>
      <c r="AP119" s="146"/>
      <c r="AQ119" s="14"/>
      <c r="AR119" s="28" t="str">
        <f t="shared" si="288"/>
        <v/>
      </c>
      <c r="AT119" s="90" t="str">
        <f t="shared" si="272"/>
        <v/>
      </c>
      <c r="AV119" s="27"/>
      <c r="AW119" s="14"/>
      <c r="AX119" s="146"/>
      <c r="AY119" s="14"/>
      <c r="AZ119" s="28" t="str">
        <f t="shared" si="289"/>
        <v/>
      </c>
      <c r="BB119" s="90" t="str">
        <f t="shared" si="273"/>
        <v/>
      </c>
      <c r="BD119" s="27"/>
      <c r="BE119" s="14"/>
      <c r="BF119" s="146"/>
      <c r="BG119" s="14"/>
      <c r="BH119" s="28" t="str">
        <f t="shared" si="290"/>
        <v/>
      </c>
      <c r="BJ119" s="90" t="str">
        <f t="shared" si="274"/>
        <v/>
      </c>
      <c r="BL119" s="27"/>
      <c r="BM119" s="14"/>
      <c r="BN119" s="146"/>
      <c r="BO119" s="14"/>
      <c r="BP119" s="28" t="str">
        <f t="shared" si="291"/>
        <v/>
      </c>
      <c r="BR119" s="90" t="str">
        <f t="shared" si="275"/>
        <v/>
      </c>
      <c r="BT119" s="27"/>
      <c r="BU119" s="14"/>
      <c r="BV119" s="146"/>
      <c r="BW119" s="14"/>
      <c r="BX119" s="28" t="str">
        <f t="shared" si="292"/>
        <v/>
      </c>
      <c r="BZ119" s="90" t="str">
        <f t="shared" si="276"/>
        <v/>
      </c>
      <c r="CB119" s="27"/>
      <c r="CC119" s="14"/>
      <c r="CD119" s="146"/>
      <c r="CE119" s="14"/>
      <c r="CF119" s="28" t="str">
        <f t="shared" si="293"/>
        <v/>
      </c>
      <c r="CH119" s="90" t="str">
        <f t="shared" si="277"/>
        <v/>
      </c>
      <c r="CJ119" s="27"/>
      <c r="CK119" s="14"/>
      <c r="CL119" s="146"/>
      <c r="CM119" s="14"/>
      <c r="CN119" s="28" t="str">
        <f t="shared" si="294"/>
        <v/>
      </c>
      <c r="CP119" s="90" t="str">
        <f t="shared" si="278"/>
        <v/>
      </c>
      <c r="CR119" s="27"/>
      <c r="CS119" s="14"/>
      <c r="CT119" s="146"/>
      <c r="CU119" s="14"/>
      <c r="CV119" s="28" t="str">
        <f t="shared" si="295"/>
        <v/>
      </c>
      <c r="CX119" s="90" t="str">
        <f t="shared" si="279"/>
        <v/>
      </c>
    </row>
    <row r="120" spans="1:102" ht="16.2" thickBot="1" x14ac:dyDescent="0.35">
      <c r="B120" s="48"/>
      <c r="C120" s="62" t="s">
        <v>149</v>
      </c>
      <c r="D120" s="71" t="e">
        <f t="shared" si="280"/>
        <v>#DIV/0!</v>
      </c>
      <c r="E120" s="133">
        <f t="shared" si="281"/>
        <v>0</v>
      </c>
      <c r="F120" s="73" t="str">
        <f t="shared" si="282"/>
        <v/>
      </c>
      <c r="H120" s="27"/>
      <c r="J120" s="146"/>
      <c r="L120" s="65" t="str">
        <f t="shared" si="284"/>
        <v/>
      </c>
      <c r="N120" s="90" t="str">
        <f t="shared" si="283"/>
        <v/>
      </c>
      <c r="P120" s="27"/>
      <c r="Q120" s="14"/>
      <c r="R120" s="146"/>
      <c r="S120" s="14"/>
      <c r="T120" s="65" t="str">
        <f t="shared" si="285"/>
        <v/>
      </c>
      <c r="V120" s="90" t="str">
        <f t="shared" si="269"/>
        <v/>
      </c>
      <c r="X120" s="27"/>
      <c r="Y120" s="14"/>
      <c r="Z120" s="146"/>
      <c r="AA120" s="14"/>
      <c r="AB120" s="65" t="str">
        <f t="shared" si="286"/>
        <v/>
      </c>
      <c r="AC120" s="14"/>
      <c r="AD120" s="90" t="str">
        <f t="shared" si="270"/>
        <v/>
      </c>
      <c r="AF120" s="27"/>
      <c r="AG120" s="14"/>
      <c r="AH120" s="146"/>
      <c r="AI120" s="14"/>
      <c r="AJ120" s="65" t="str">
        <f t="shared" si="287"/>
        <v/>
      </c>
      <c r="AL120" s="90" t="str">
        <f t="shared" si="271"/>
        <v/>
      </c>
      <c r="AN120" s="27"/>
      <c r="AO120" s="14"/>
      <c r="AP120" s="146"/>
      <c r="AQ120" s="14"/>
      <c r="AR120" s="65" t="str">
        <f t="shared" si="288"/>
        <v/>
      </c>
      <c r="AT120" s="90" t="str">
        <f t="shared" si="272"/>
        <v/>
      </c>
      <c r="AV120" s="27"/>
      <c r="AW120" s="14"/>
      <c r="AX120" s="146"/>
      <c r="AY120" s="14"/>
      <c r="AZ120" s="65" t="str">
        <f t="shared" si="289"/>
        <v/>
      </c>
      <c r="BB120" s="90" t="str">
        <f t="shared" si="273"/>
        <v/>
      </c>
      <c r="BD120" s="27"/>
      <c r="BE120" s="14"/>
      <c r="BF120" s="146"/>
      <c r="BG120" s="14"/>
      <c r="BH120" s="65" t="str">
        <f t="shared" si="290"/>
        <v/>
      </c>
      <c r="BJ120" s="90" t="str">
        <f t="shared" si="274"/>
        <v/>
      </c>
      <c r="BL120" s="27"/>
      <c r="BM120" s="14"/>
      <c r="BN120" s="146"/>
      <c r="BO120" s="14"/>
      <c r="BP120" s="65" t="str">
        <f t="shared" si="291"/>
        <v/>
      </c>
      <c r="BR120" s="90" t="str">
        <f t="shared" si="275"/>
        <v/>
      </c>
      <c r="BT120" s="27"/>
      <c r="BU120" s="14"/>
      <c r="BV120" s="146"/>
      <c r="BW120" s="14"/>
      <c r="BX120" s="65" t="str">
        <f t="shared" si="292"/>
        <v/>
      </c>
      <c r="BZ120" s="90" t="str">
        <f t="shared" si="276"/>
        <v/>
      </c>
      <c r="CB120" s="27"/>
      <c r="CC120" s="14"/>
      <c r="CD120" s="146"/>
      <c r="CE120" s="14"/>
      <c r="CF120" s="65" t="str">
        <f t="shared" si="293"/>
        <v/>
      </c>
      <c r="CH120" s="90" t="str">
        <f t="shared" si="277"/>
        <v/>
      </c>
      <c r="CJ120" s="27"/>
      <c r="CK120" s="14"/>
      <c r="CL120" s="146"/>
      <c r="CM120" s="14"/>
      <c r="CN120" s="65" t="str">
        <f t="shared" si="294"/>
        <v/>
      </c>
      <c r="CP120" s="90" t="str">
        <f t="shared" si="278"/>
        <v/>
      </c>
      <c r="CR120" s="27"/>
      <c r="CS120" s="14"/>
      <c r="CT120" s="146"/>
      <c r="CU120" s="14"/>
      <c r="CV120" s="65" t="str">
        <f t="shared" si="295"/>
        <v/>
      </c>
      <c r="CX120" s="90" t="str">
        <f t="shared" si="279"/>
        <v/>
      </c>
    </row>
    <row r="121" spans="1:102" ht="9" customHeight="1" thickBot="1" x14ac:dyDescent="0.35">
      <c r="C121" s="39"/>
      <c r="F121" s="17"/>
      <c r="H121" s="36"/>
      <c r="J121" s="36"/>
      <c r="L121" s="31"/>
      <c r="N121" s="31"/>
      <c r="P121" s="36"/>
      <c r="Q121" s="14"/>
      <c r="R121" s="36"/>
      <c r="S121" s="14"/>
      <c r="T121" s="31"/>
      <c r="V121" s="31"/>
      <c r="X121" s="36"/>
      <c r="Y121" s="14"/>
      <c r="Z121" s="36"/>
      <c r="AA121" s="14"/>
      <c r="AB121" s="31"/>
      <c r="AC121" s="14"/>
      <c r="AD121" s="31"/>
      <c r="AF121" s="36"/>
      <c r="AG121" s="14"/>
      <c r="AH121" s="36"/>
      <c r="AI121" s="14"/>
      <c r="AJ121" s="31"/>
      <c r="AL121" s="31"/>
      <c r="AN121" s="36"/>
      <c r="AO121" s="14"/>
      <c r="AP121" s="36"/>
      <c r="AQ121" s="14"/>
      <c r="AR121" s="31"/>
      <c r="AT121" s="31"/>
      <c r="AV121" s="36"/>
      <c r="AW121" s="14"/>
      <c r="AX121" s="36"/>
      <c r="AY121" s="14"/>
      <c r="AZ121" s="31"/>
      <c r="BB121" s="31"/>
      <c r="BD121" s="36"/>
      <c r="BE121" s="14"/>
      <c r="BF121" s="36"/>
      <c r="BG121" s="14"/>
      <c r="BH121" s="31"/>
      <c r="BJ121" s="31"/>
      <c r="BL121" s="36"/>
      <c r="BM121" s="14"/>
      <c r="BN121" s="36"/>
      <c r="BO121" s="14"/>
      <c r="BP121" s="31"/>
      <c r="BR121" s="31"/>
      <c r="BT121" s="36"/>
      <c r="BU121" s="14"/>
      <c r="BV121" s="36"/>
      <c r="BW121" s="14"/>
      <c r="BX121" s="31"/>
      <c r="BZ121" s="31"/>
      <c r="CB121" s="36"/>
      <c r="CC121" s="14"/>
      <c r="CD121" s="36"/>
      <c r="CE121" s="14"/>
      <c r="CF121" s="31"/>
      <c r="CH121" s="31"/>
      <c r="CJ121" s="36"/>
      <c r="CK121" s="14"/>
      <c r="CL121" s="36"/>
      <c r="CM121" s="14"/>
      <c r="CN121" s="31"/>
      <c r="CP121" s="31"/>
      <c r="CR121" s="36"/>
      <c r="CS121" s="14"/>
      <c r="CT121" s="36"/>
      <c r="CU121" s="14"/>
      <c r="CV121" s="31"/>
      <c r="CX121" s="31"/>
    </row>
    <row r="122" spans="1:102" ht="16.2" thickBot="1" x14ac:dyDescent="0.35">
      <c r="B122" s="105" t="s">
        <v>41</v>
      </c>
      <c r="C122" s="106"/>
      <c r="D122" s="106"/>
      <c r="E122" s="138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6"/>
      <c r="BY122" s="106"/>
      <c r="BZ122" s="106"/>
      <c r="CA122" s="106"/>
      <c r="CB122" s="106"/>
      <c r="CC122" s="106"/>
      <c r="CD122" s="106"/>
      <c r="CE122" s="106"/>
      <c r="CF122" s="106"/>
      <c r="CG122" s="106"/>
      <c r="CH122" s="106"/>
      <c r="CI122" s="106"/>
      <c r="CJ122" s="106"/>
      <c r="CK122" s="106"/>
      <c r="CL122" s="106"/>
      <c r="CM122" s="106"/>
      <c r="CN122" s="106"/>
      <c r="CO122" s="106"/>
      <c r="CP122" s="106"/>
      <c r="CQ122" s="106"/>
      <c r="CR122" s="106"/>
      <c r="CS122" s="106"/>
      <c r="CT122" s="106"/>
      <c r="CU122" s="106"/>
      <c r="CV122" s="106"/>
      <c r="CW122" s="106"/>
      <c r="CX122" s="106"/>
    </row>
    <row r="123" spans="1:102" ht="9.75" customHeight="1" thickBot="1" x14ac:dyDescent="0.35">
      <c r="C123" s="39"/>
      <c r="F123" s="16"/>
      <c r="H123" s="36"/>
      <c r="J123" s="36"/>
      <c r="L123" s="31"/>
      <c r="N123" s="31"/>
      <c r="P123" s="36"/>
      <c r="Q123" s="14"/>
      <c r="R123" s="36"/>
      <c r="S123" s="14"/>
      <c r="T123" s="31"/>
      <c r="V123" s="31"/>
      <c r="X123" s="36"/>
      <c r="Y123" s="14"/>
      <c r="Z123" s="36"/>
      <c r="AA123" s="14"/>
      <c r="AB123" s="31"/>
      <c r="AC123" s="14"/>
      <c r="AD123" s="31"/>
      <c r="AF123" s="36"/>
      <c r="AG123" s="14"/>
      <c r="AH123" s="36"/>
      <c r="AI123" s="14"/>
      <c r="AJ123" s="31"/>
      <c r="AL123" s="31"/>
      <c r="AN123" s="36"/>
      <c r="AO123" s="14"/>
      <c r="AP123" s="36"/>
      <c r="AQ123" s="14"/>
      <c r="AR123" s="31"/>
      <c r="AT123" s="31"/>
      <c r="AV123" s="36"/>
      <c r="AW123" s="14"/>
      <c r="AX123" s="36"/>
      <c r="AY123" s="14"/>
      <c r="AZ123" s="31"/>
      <c r="BB123" s="31"/>
      <c r="BD123" s="36"/>
      <c r="BE123" s="14"/>
      <c r="BF123" s="36"/>
      <c r="BG123" s="14"/>
      <c r="BH123" s="31"/>
      <c r="BJ123" s="31"/>
      <c r="BL123" s="36"/>
      <c r="BM123" s="14"/>
      <c r="BN123" s="36"/>
      <c r="BO123" s="14"/>
      <c r="BP123" s="31"/>
      <c r="BR123" s="31"/>
      <c r="BT123" s="36"/>
      <c r="BU123" s="14"/>
      <c r="BV123" s="36"/>
      <c r="BW123" s="14"/>
      <c r="BX123" s="31"/>
      <c r="BZ123" s="31"/>
      <c r="CB123" s="36"/>
      <c r="CC123" s="14"/>
      <c r="CD123" s="36"/>
      <c r="CE123" s="14"/>
      <c r="CF123" s="31"/>
      <c r="CH123" s="31"/>
      <c r="CJ123" s="36"/>
      <c r="CK123" s="14"/>
      <c r="CL123" s="36"/>
      <c r="CM123" s="14"/>
      <c r="CN123" s="31"/>
      <c r="CP123" s="31"/>
      <c r="CR123" s="36"/>
      <c r="CS123" s="14"/>
      <c r="CT123" s="36"/>
      <c r="CU123" s="14"/>
      <c r="CV123" s="31"/>
      <c r="CX123" s="31"/>
    </row>
    <row r="124" spans="1:102" ht="16.2" thickBot="1" x14ac:dyDescent="0.35">
      <c r="B124" s="213" t="s">
        <v>46</v>
      </c>
      <c r="C124" s="214"/>
      <c r="D124" s="104" t="e">
        <f t="shared" ref="D124:F124" si="296">IF(SUM(D125:D126)&lt;&gt;"",SUM(D125:D126),"")</f>
        <v>#DIV/0!</v>
      </c>
      <c r="E124" s="137">
        <f t="shared" si="296"/>
        <v>0</v>
      </c>
      <c r="F124" s="75">
        <f t="shared" si="296"/>
        <v>0</v>
      </c>
      <c r="H124" s="38">
        <f>IF(SUM(H125:H126)&lt;&gt;"",SUM(H125:H126),"")</f>
        <v>0</v>
      </c>
      <c r="J124" s="38">
        <f>IF(SUM(J125:J126)&lt;&gt;"",SUM(J125:J126),"")</f>
        <v>0</v>
      </c>
      <c r="L124" s="53" t="e">
        <f>IF(J124&lt;&gt;"",J124/J$7,"")</f>
        <v>#VALUE!</v>
      </c>
      <c r="N124" s="30" t="e">
        <f>IF(J124&lt;&gt;"",(J124/$D124)-1,"")</f>
        <v>#DIV/0!</v>
      </c>
      <c r="P124" s="38">
        <f>IF(SUM(P125:P126)&lt;&gt;"",SUM(P125:P126),"")</f>
        <v>0</v>
      </c>
      <c r="Q124" s="14"/>
      <c r="R124" s="38">
        <f>IF(SUM(R125:R126)&lt;&gt;"",SUM(R125:R126),"")</f>
        <v>0</v>
      </c>
      <c r="S124" s="14"/>
      <c r="T124" s="53" t="e">
        <f>IF(R124&lt;&gt;"",R124/R$7,"")</f>
        <v>#VALUE!</v>
      </c>
      <c r="V124" s="94" t="str">
        <f t="shared" ref="V124:V126" si="297">IF(R124&lt;&gt;0,(R124/P124)-1,"")</f>
        <v/>
      </c>
      <c r="X124" s="38">
        <f>IF(SUM(X125:X126)&lt;&gt;"",SUM(X125:X126),"")</f>
        <v>0</v>
      </c>
      <c r="Y124" s="14"/>
      <c r="Z124" s="38">
        <f>IF(SUM(Z125:Z126)&lt;&gt;"",SUM(Z125:Z126),"")</f>
        <v>0</v>
      </c>
      <c r="AA124" s="14"/>
      <c r="AB124" s="53" t="e">
        <f>IF(Z124&lt;&gt;"",Z124/Z$7,"")</f>
        <v>#VALUE!</v>
      </c>
      <c r="AC124" s="14"/>
      <c r="AD124" s="94" t="str">
        <f t="shared" ref="AD124:AD126" si="298">IF(Z124&lt;&gt;0,(Z124/X124)-1,"")</f>
        <v/>
      </c>
      <c r="AF124" s="38">
        <f>IF(SUM(AF125:AF126)&lt;&gt;"",SUM(AF125:AF126),"")</f>
        <v>0</v>
      </c>
      <c r="AG124" s="14"/>
      <c r="AH124" s="38">
        <f>IF(SUM(AH125:AH126)&lt;&gt;"",SUM(AH125:AH126),"")</f>
        <v>0</v>
      </c>
      <c r="AI124" s="14"/>
      <c r="AJ124" s="53" t="e">
        <f>IF(AH124&lt;&gt;"",AH124/AH$7,"")</f>
        <v>#VALUE!</v>
      </c>
      <c r="AL124" s="94" t="str">
        <f t="shared" ref="AL124:AL126" si="299">IF(AH124&lt;&gt;0,(AH124/AF124)-1,"")</f>
        <v/>
      </c>
      <c r="AN124" s="38">
        <f>IF(SUM(AN125:AN126)&lt;&gt;"",SUM(AN125:AN126),"")</f>
        <v>0</v>
      </c>
      <c r="AO124" s="14"/>
      <c r="AP124" s="38">
        <f>IF(SUM(AP125:AP126)&lt;&gt;"",SUM(AP125:AP126),"")</f>
        <v>0</v>
      </c>
      <c r="AQ124" s="14"/>
      <c r="AR124" s="53" t="e">
        <f>IF(AP124&lt;&gt;"",AP124/AP$7,"")</f>
        <v>#VALUE!</v>
      </c>
      <c r="AT124" s="94" t="str">
        <f t="shared" ref="AT124:AT126" si="300">IF(AP124&lt;&gt;0,(AP124/AN124)-1,"")</f>
        <v/>
      </c>
      <c r="AV124" s="38">
        <f>IF(SUM(AV125:AV126)&lt;&gt;"",SUM(AV125:AV126),"")</f>
        <v>0</v>
      </c>
      <c r="AW124" s="14"/>
      <c r="AX124" s="38">
        <f>IF(SUM(AX125:AX126)&lt;&gt;"",SUM(AX125:AX126),"")</f>
        <v>0</v>
      </c>
      <c r="AY124" s="14"/>
      <c r="AZ124" s="53" t="e">
        <f>IF(AX124&lt;&gt;"",AX124/AX$7,"")</f>
        <v>#VALUE!</v>
      </c>
      <c r="BB124" s="94" t="str">
        <f t="shared" ref="BB124:BB126" si="301">IF(AX124&lt;&gt;0,(AX124/AV124)-1,"")</f>
        <v/>
      </c>
      <c r="BD124" s="38">
        <f>IF(SUM(BD125:BD126)&lt;&gt;"",SUM(BD125:BD126),"")</f>
        <v>0</v>
      </c>
      <c r="BE124" s="14"/>
      <c r="BF124" s="38">
        <f>IF(SUM(BF125:BF126)&lt;&gt;"",SUM(BF125:BF126),"")</f>
        <v>0</v>
      </c>
      <c r="BG124" s="14"/>
      <c r="BH124" s="53" t="e">
        <f>IF(BF124&lt;&gt;"",BF124/BF$7,"")</f>
        <v>#VALUE!</v>
      </c>
      <c r="BJ124" s="94" t="str">
        <f t="shared" ref="BJ124:BJ126" si="302">IF(BF124&lt;&gt;0,(BF124/BD124)-1,"")</f>
        <v/>
      </c>
      <c r="BL124" s="38">
        <f>IF(SUM(BL125:BL126)&lt;&gt;"",SUM(BL125:BL126),"")</f>
        <v>0</v>
      </c>
      <c r="BM124" s="14"/>
      <c r="BN124" s="38">
        <f>IF(SUM(BN125:BN126)&lt;&gt;"",SUM(BN125:BN126),"")</f>
        <v>0</v>
      </c>
      <c r="BO124" s="14"/>
      <c r="BP124" s="53" t="e">
        <f>IF(BN124&lt;&gt;"",BN124/BN$7,"")</f>
        <v>#VALUE!</v>
      </c>
      <c r="BR124" s="94" t="str">
        <f t="shared" ref="BR124:BR126" si="303">IF(BN124&lt;&gt;0,(BN124/BL124)-1,"")</f>
        <v/>
      </c>
      <c r="BT124" s="38">
        <f>IF(SUM(BT125:BT126)&lt;&gt;"",SUM(BT125:BT126),"")</f>
        <v>0</v>
      </c>
      <c r="BU124" s="14"/>
      <c r="BV124" s="38">
        <f>IF(SUM(BV125:BV126)&lt;&gt;"",SUM(BV125:BV126),"")</f>
        <v>0</v>
      </c>
      <c r="BW124" s="14"/>
      <c r="BX124" s="53" t="e">
        <f>IF(BV124&lt;&gt;"",BV124/BV$7,"")</f>
        <v>#VALUE!</v>
      </c>
      <c r="BZ124" s="94" t="str">
        <f t="shared" ref="BZ124:BZ126" si="304">IF(BV124&lt;&gt;0,(BV124/BT124)-1,"")</f>
        <v/>
      </c>
      <c r="CB124" s="38">
        <f>IF(SUM(CB125:CB126)&lt;&gt;"",SUM(CB125:CB126),"")</f>
        <v>0</v>
      </c>
      <c r="CC124" s="14"/>
      <c r="CD124" s="38">
        <f>IF(SUM(CD125:CD126)&lt;&gt;"",SUM(CD125:CD126),"")</f>
        <v>0</v>
      </c>
      <c r="CE124" s="14"/>
      <c r="CF124" s="53" t="e">
        <f>IF(CD124&lt;&gt;"",CD124/CD$7,"")</f>
        <v>#VALUE!</v>
      </c>
      <c r="CH124" s="94" t="str">
        <f t="shared" ref="CH124:CH126" si="305">IF(CD124&lt;&gt;0,(CD124/CB124)-1,"")</f>
        <v/>
      </c>
      <c r="CJ124" s="38">
        <f>IF(SUM(CJ125:CJ126)&lt;&gt;"",SUM(CJ125:CJ126),"")</f>
        <v>0</v>
      </c>
      <c r="CK124" s="14"/>
      <c r="CL124" s="38">
        <f>IF(SUM(CL125:CL126)&lt;&gt;"",SUM(CL125:CL126),"")</f>
        <v>0</v>
      </c>
      <c r="CM124" s="14"/>
      <c r="CN124" s="53" t="e">
        <f>IF(CL124&lt;&gt;"",CL124/CL$7,"")</f>
        <v>#VALUE!</v>
      </c>
      <c r="CP124" s="94" t="str">
        <f t="shared" ref="CP124:CP126" si="306">IF(CL124&lt;&gt;0,(CL124/CJ124)-1,"")</f>
        <v/>
      </c>
      <c r="CR124" s="38">
        <f>IF(SUM(CR125:CR126)&lt;&gt;"",SUM(CR125:CR126),"")</f>
        <v>0</v>
      </c>
      <c r="CS124" s="14"/>
      <c r="CT124" s="38">
        <f>IF(SUM(CT125:CT126)&lt;&gt;"",SUM(CT125:CT126),"")</f>
        <v>0</v>
      </c>
      <c r="CU124" s="14"/>
      <c r="CV124" s="53" t="e">
        <f>IF(CT124&lt;&gt;"",CT124/CT$7,"")</f>
        <v>#VALUE!</v>
      </c>
      <c r="CX124" s="94" t="str">
        <f t="shared" ref="CX124:CX126" si="307">IF(CT124&lt;&gt;0,(CT124/CR124)-1,"")</f>
        <v/>
      </c>
    </row>
    <row r="125" spans="1:102" ht="15.6" x14ac:dyDescent="0.3">
      <c r="B125" s="49"/>
      <c r="C125" s="22" t="s">
        <v>42</v>
      </c>
      <c r="D125" s="109" t="e">
        <f>IF(AVERAGE(J125,R125,Z125,AH125,AP125,AX125,BF125,BN125,BV125,CD125,CL125,CT125)&lt;&gt;"",AVERAGE(J125,R125,Z125,AH125,AP125,AX125,BF125,BN125,BV125,CD125,CL125,CT125),"")</f>
        <v>#DIV/0!</v>
      </c>
      <c r="E125" s="130">
        <f>IF(SUM(J125,R125,Z125,AH125,AP125,AX125,BF125,BN125,BV125,CD125,CL125,CT125)&lt;&gt;0,SUM(J125,R125,Z125,AH125,AP125,AX125,BF125,BN125,BV125,CD125,CL125,CT125),0)</f>
        <v>0</v>
      </c>
      <c r="F125" s="73" t="str">
        <f t="shared" ref="F125:F126" si="308">IF(E125&lt;&gt;0,E125/E$7,"")</f>
        <v/>
      </c>
      <c r="H125" s="27"/>
      <c r="J125" s="146"/>
      <c r="L125" s="28" t="str">
        <f>IF(J125&lt;&gt;"",J125/J$7,"")</f>
        <v/>
      </c>
      <c r="N125" s="90" t="str">
        <f t="shared" ref="N125:N126" si="309">IF(J125&lt;&gt;0,(J125/D125)-1,"")</f>
        <v/>
      </c>
      <c r="P125" s="27"/>
      <c r="Q125" s="14"/>
      <c r="R125" s="146"/>
      <c r="S125" s="14"/>
      <c r="T125" s="28" t="str">
        <f>IF(R125&lt;&gt;"",R125/R$7,"")</f>
        <v/>
      </c>
      <c r="V125" s="90" t="str">
        <f t="shared" si="297"/>
        <v/>
      </c>
      <c r="X125" s="27"/>
      <c r="Y125" s="14"/>
      <c r="Z125" s="146"/>
      <c r="AA125" s="14"/>
      <c r="AB125" s="28" t="str">
        <f>IF(Z125&lt;&gt;"",Z125/Z$7,"")</f>
        <v/>
      </c>
      <c r="AC125" s="14"/>
      <c r="AD125" s="90" t="str">
        <f t="shared" si="298"/>
        <v/>
      </c>
      <c r="AF125" s="27"/>
      <c r="AG125" s="14"/>
      <c r="AH125" s="146"/>
      <c r="AI125" s="14"/>
      <c r="AJ125" s="28" t="str">
        <f>IF(AH125&lt;&gt;"",AH125/AH$7,"")</f>
        <v/>
      </c>
      <c r="AL125" s="90" t="str">
        <f t="shared" si="299"/>
        <v/>
      </c>
      <c r="AN125" s="27"/>
      <c r="AO125" s="14"/>
      <c r="AP125" s="146"/>
      <c r="AQ125" s="14"/>
      <c r="AR125" s="28" t="str">
        <f>IF(AP125&lt;&gt;"",AP125/AP$7,"")</f>
        <v/>
      </c>
      <c r="AT125" s="90" t="str">
        <f t="shared" si="300"/>
        <v/>
      </c>
      <c r="AV125" s="27"/>
      <c r="AW125" s="14"/>
      <c r="AX125" s="146"/>
      <c r="AY125" s="14"/>
      <c r="AZ125" s="28" t="str">
        <f>IF(AX125&lt;&gt;"",AX125/AX$7,"")</f>
        <v/>
      </c>
      <c r="BB125" s="90" t="str">
        <f t="shared" si="301"/>
        <v/>
      </c>
      <c r="BD125" s="27"/>
      <c r="BE125" s="14"/>
      <c r="BF125" s="146"/>
      <c r="BG125" s="14"/>
      <c r="BH125" s="28" t="str">
        <f>IF(BF125&lt;&gt;"",BF125/BF$7,"")</f>
        <v/>
      </c>
      <c r="BJ125" s="90" t="str">
        <f t="shared" si="302"/>
        <v/>
      </c>
      <c r="BL125" s="27"/>
      <c r="BM125" s="14"/>
      <c r="BN125" s="146"/>
      <c r="BO125" s="14"/>
      <c r="BP125" s="28" t="str">
        <f>IF(BN125&lt;&gt;"",BN125/BN$7,"")</f>
        <v/>
      </c>
      <c r="BR125" s="90" t="str">
        <f t="shared" si="303"/>
        <v/>
      </c>
      <c r="BT125" s="27"/>
      <c r="BU125" s="14"/>
      <c r="BV125" s="146"/>
      <c r="BW125" s="14"/>
      <c r="BX125" s="28" t="str">
        <f>IF(BV125&lt;&gt;"",BV125/BV$7,"")</f>
        <v/>
      </c>
      <c r="BZ125" s="90" t="str">
        <f t="shared" si="304"/>
        <v/>
      </c>
      <c r="CB125" s="27"/>
      <c r="CC125" s="14"/>
      <c r="CD125" s="146"/>
      <c r="CE125" s="14"/>
      <c r="CF125" s="28" t="str">
        <f>IF(CD125&lt;&gt;"",CD125/CD$7,"")</f>
        <v/>
      </c>
      <c r="CH125" s="90" t="str">
        <f t="shared" si="305"/>
        <v/>
      </c>
      <c r="CJ125" s="27"/>
      <c r="CK125" s="14"/>
      <c r="CL125" s="146"/>
      <c r="CM125" s="14"/>
      <c r="CN125" s="28" t="str">
        <f>IF(CL125&lt;&gt;"",CL125/CL$7,"")</f>
        <v/>
      </c>
      <c r="CP125" s="90" t="str">
        <f t="shared" si="306"/>
        <v/>
      </c>
      <c r="CR125" s="27"/>
      <c r="CS125" s="14"/>
      <c r="CT125" s="146"/>
      <c r="CU125" s="14"/>
      <c r="CV125" s="28" t="str">
        <f>IF(CT125&lt;&gt;"",CT125/CT$7,"")</f>
        <v/>
      </c>
      <c r="CX125" s="90" t="str">
        <f t="shared" si="307"/>
        <v/>
      </c>
    </row>
    <row r="126" spans="1:102" ht="16.2" thickBot="1" x14ac:dyDescent="0.35">
      <c r="B126" s="52"/>
      <c r="C126" s="62"/>
      <c r="D126" s="71" t="e">
        <f>IF(AVERAGE(J126,R126,Z126,AH126,AP126,AX126,BF126,BN126,BV126,CD126,CL126,CT126)&lt;&gt;"",AVERAGE(J126,R126,Z126,AH126,AP126,AX126,BF126,BN126,BV126,CD126,CL126,CT126),"")</f>
        <v>#DIV/0!</v>
      </c>
      <c r="E126" s="133">
        <f>IF(SUM(J126,R126,Z126,AH126,AP126,AX126,BF126,BN126,BV126,CD126,CL126,CT126)&lt;&gt;0,SUM(J126,R126,Z126,AH126,AP126,AX126,BF126,BN126,BV126,CD126,CL126,CT126),0)</f>
        <v>0</v>
      </c>
      <c r="F126" s="74" t="str">
        <f t="shared" si="308"/>
        <v/>
      </c>
      <c r="H126" s="64"/>
      <c r="J126" s="149"/>
      <c r="L126" s="65" t="str">
        <f>IF(J126&lt;&gt;"",J126/J$7,"")</f>
        <v/>
      </c>
      <c r="N126" s="90" t="str">
        <f t="shared" si="309"/>
        <v/>
      </c>
      <c r="P126" s="64"/>
      <c r="Q126" s="14"/>
      <c r="R126" s="149"/>
      <c r="S126" s="14"/>
      <c r="T126" s="65" t="str">
        <f>IF(R126&lt;&gt;"",R126/R$7,"")</f>
        <v/>
      </c>
      <c r="V126" s="97" t="str">
        <f t="shared" si="297"/>
        <v/>
      </c>
      <c r="X126" s="64"/>
      <c r="Y126" s="14"/>
      <c r="Z126" s="149"/>
      <c r="AA126" s="14"/>
      <c r="AB126" s="65" t="str">
        <f>IF(Z126&lt;&gt;"",Z126/Z$7,"")</f>
        <v/>
      </c>
      <c r="AC126" s="14"/>
      <c r="AD126" s="97" t="str">
        <f t="shared" si="298"/>
        <v/>
      </c>
      <c r="AF126" s="64"/>
      <c r="AG126" s="14"/>
      <c r="AH126" s="149"/>
      <c r="AI126" s="14"/>
      <c r="AJ126" s="65" t="str">
        <f>IF(AH126&lt;&gt;"",AH126/AH$7,"")</f>
        <v/>
      </c>
      <c r="AL126" s="97" t="str">
        <f t="shared" si="299"/>
        <v/>
      </c>
      <c r="AN126" s="64"/>
      <c r="AO126" s="14"/>
      <c r="AP126" s="149"/>
      <c r="AQ126" s="14"/>
      <c r="AR126" s="65" t="str">
        <f>IF(AP126&lt;&gt;"",AP126/AP$7,"")</f>
        <v/>
      </c>
      <c r="AT126" s="97" t="str">
        <f t="shared" si="300"/>
        <v/>
      </c>
      <c r="AV126" s="64"/>
      <c r="AW126" s="14"/>
      <c r="AX126" s="149"/>
      <c r="AY126" s="14"/>
      <c r="AZ126" s="65" t="str">
        <f>IF(AX126&lt;&gt;"",AX126/AX$7,"")</f>
        <v/>
      </c>
      <c r="BB126" s="97" t="str">
        <f t="shared" si="301"/>
        <v/>
      </c>
      <c r="BD126" s="64"/>
      <c r="BE126" s="14"/>
      <c r="BF126" s="149"/>
      <c r="BG126" s="14"/>
      <c r="BH126" s="65" t="str">
        <f>IF(BF126&lt;&gt;"",BF126/BF$7,"")</f>
        <v/>
      </c>
      <c r="BJ126" s="97" t="str">
        <f t="shared" si="302"/>
        <v/>
      </c>
      <c r="BL126" s="64"/>
      <c r="BM126" s="14"/>
      <c r="BN126" s="149"/>
      <c r="BO126" s="14"/>
      <c r="BP126" s="65" t="str">
        <f>IF(BN126&lt;&gt;"",BN126/BN$7,"")</f>
        <v/>
      </c>
      <c r="BR126" s="97" t="str">
        <f t="shared" si="303"/>
        <v/>
      </c>
      <c r="BT126" s="64"/>
      <c r="BU126" s="14"/>
      <c r="BV126" s="149"/>
      <c r="BW126" s="14"/>
      <c r="BX126" s="65" t="str">
        <f>IF(BV126&lt;&gt;"",BV126/BV$7,"")</f>
        <v/>
      </c>
      <c r="BZ126" s="97" t="str">
        <f t="shared" si="304"/>
        <v/>
      </c>
      <c r="CB126" s="64"/>
      <c r="CC126" s="14"/>
      <c r="CD126" s="149"/>
      <c r="CE126" s="14"/>
      <c r="CF126" s="65" t="str">
        <f>IF(CD126&lt;&gt;"",CD126/CD$7,"")</f>
        <v/>
      </c>
      <c r="CH126" s="97" t="str">
        <f t="shared" si="305"/>
        <v/>
      </c>
      <c r="CJ126" s="64"/>
      <c r="CK126" s="14"/>
      <c r="CL126" s="149"/>
      <c r="CM126" s="14"/>
      <c r="CN126" s="65" t="str">
        <f>IF(CL126&lt;&gt;"",CL126/CL$7,"")</f>
        <v/>
      </c>
      <c r="CP126" s="97" t="str">
        <f t="shared" si="306"/>
        <v/>
      </c>
      <c r="CR126" s="64"/>
      <c r="CS126" s="14"/>
      <c r="CT126" s="149"/>
      <c r="CU126" s="14"/>
      <c r="CV126" s="65" t="str">
        <f>IF(CT126&lt;&gt;"",CT126/CT$7,"")</f>
        <v/>
      </c>
      <c r="CX126" s="97" t="str">
        <f t="shared" si="307"/>
        <v/>
      </c>
    </row>
    <row r="127" spans="1:102" ht="8.25" customHeight="1" thickBot="1" x14ac:dyDescent="0.35">
      <c r="C127" s="39"/>
      <c r="F127" s="17"/>
      <c r="H127" s="36"/>
      <c r="J127" s="36"/>
      <c r="L127" s="31"/>
      <c r="N127" s="31"/>
      <c r="P127" s="36"/>
      <c r="Q127" s="14"/>
      <c r="R127" s="36"/>
      <c r="S127" s="14"/>
      <c r="T127" s="31"/>
      <c r="V127" s="31"/>
      <c r="X127" s="36"/>
      <c r="Y127" s="14"/>
      <c r="Z127" s="36"/>
      <c r="AA127" s="14"/>
      <c r="AB127" s="31"/>
      <c r="AC127" s="14"/>
      <c r="AD127" s="31"/>
      <c r="AF127" s="36"/>
      <c r="AG127" s="14"/>
      <c r="AH127" s="36"/>
      <c r="AI127" s="14"/>
      <c r="AJ127" s="31"/>
      <c r="AL127" s="31"/>
      <c r="AN127" s="36"/>
      <c r="AO127" s="14"/>
      <c r="AP127" s="36"/>
      <c r="AQ127" s="14"/>
      <c r="AR127" s="31"/>
      <c r="AT127" s="31"/>
      <c r="AV127" s="36"/>
      <c r="AW127" s="14"/>
      <c r="AX127" s="36"/>
      <c r="AY127" s="14"/>
      <c r="AZ127" s="31"/>
      <c r="BB127" s="31"/>
      <c r="BD127" s="36"/>
      <c r="BE127" s="14"/>
      <c r="BF127" s="36"/>
      <c r="BG127" s="14"/>
      <c r="BH127" s="31"/>
      <c r="BJ127" s="31"/>
      <c r="BL127" s="36"/>
      <c r="BM127" s="14"/>
      <c r="BN127" s="36"/>
      <c r="BO127" s="14"/>
      <c r="BP127" s="31"/>
      <c r="BR127" s="31"/>
      <c r="BT127" s="36"/>
      <c r="BU127" s="14"/>
      <c r="BV127" s="36"/>
      <c r="BW127" s="14"/>
      <c r="BX127" s="31"/>
      <c r="BZ127" s="31"/>
      <c r="CB127" s="36"/>
      <c r="CC127" s="14"/>
      <c r="CD127" s="36"/>
      <c r="CE127" s="14"/>
      <c r="CF127" s="31"/>
      <c r="CH127" s="31"/>
      <c r="CJ127" s="36"/>
      <c r="CK127" s="14"/>
      <c r="CL127" s="36"/>
      <c r="CM127" s="14"/>
      <c r="CN127" s="31"/>
      <c r="CP127" s="31"/>
      <c r="CR127" s="36"/>
      <c r="CS127" s="14"/>
      <c r="CT127" s="36"/>
      <c r="CU127" s="14"/>
      <c r="CV127" s="31"/>
      <c r="CX127" s="31"/>
    </row>
    <row r="128" spans="1:102" s="92" customFormat="1" ht="16.2" thickBot="1" x14ac:dyDescent="0.35">
      <c r="A128" s="87"/>
      <c r="B128" s="210" t="s">
        <v>47</v>
      </c>
      <c r="C128" s="211"/>
      <c r="D128" s="59" t="e">
        <f>AVERAGE(J128,R128,Z128,AH128,AP128,AX128,BF128,BN128,BV128,CD128,CL128,CT128)</f>
        <v>#DIV/0!</v>
      </c>
      <c r="E128" s="136">
        <f>SUM(J128,R128,Z128,AH128,AP128,AX128,BF128,BN128,BV128,CD128,CL128,CT128)</f>
        <v>0</v>
      </c>
      <c r="F128" s="77" t="e">
        <f>D128/D7</f>
        <v>#DIV/0!</v>
      </c>
      <c r="H128" s="60" t="str">
        <f>IF(H105&lt;&gt;"",H105-(H109+H114-H124),"")</f>
        <v/>
      </c>
      <c r="J128" s="60" t="str">
        <f>IF(J105&lt;&gt;"",J105-(J109+J114-J124),"")</f>
        <v/>
      </c>
      <c r="N128" s="61" t="str">
        <f>IF(J128&lt;&gt;"",(J128/$D128)-1,"")</f>
        <v/>
      </c>
      <c r="P128" s="60" t="str">
        <f>IF(P105&lt;&gt;"",P105-(P109+P114-P124),"")</f>
        <v/>
      </c>
      <c r="R128" s="60" t="str">
        <f>IF(R105&lt;&gt;"",R105-(R109+R114-R124),"")</f>
        <v/>
      </c>
      <c r="V128" s="93" t="str">
        <f>IF(R128&lt;&gt;"",R128/#REF!,"")</f>
        <v/>
      </c>
      <c r="X128" s="60" t="str">
        <f>IF(X105&lt;&gt;"",X105-(X109+X114-X124),"")</f>
        <v/>
      </c>
      <c r="Z128" s="60" t="str">
        <f>IF(Z105&lt;&gt;"",Z105-(Z109+Z114-Z124),"")</f>
        <v/>
      </c>
      <c r="AD128" s="93" t="str">
        <f>IF(Z128&lt;&gt;"",Z128/#REF!,"")</f>
        <v/>
      </c>
      <c r="AF128" s="60" t="str">
        <f>IF(AF105&lt;&gt;"",AF105-(AF109+AF114-AF124),"")</f>
        <v/>
      </c>
      <c r="AH128" s="60" t="str">
        <f>IF(AH105&lt;&gt;"",AH105-(AH109+AH114-AH124),"")</f>
        <v/>
      </c>
      <c r="AL128" s="93" t="str">
        <f>IF(AH128&lt;&gt;"",AH128/#REF!,"")</f>
        <v/>
      </c>
      <c r="AN128" s="60" t="str">
        <f>IF(AN105&lt;&gt;"",AN105-(AN109+AN114-AN124),"")</f>
        <v/>
      </c>
      <c r="AP128" s="60" t="str">
        <f>IF(AP105&lt;&gt;"",AP105-(AP109+AP114-AP124),"")</f>
        <v/>
      </c>
      <c r="AT128" s="93" t="str">
        <f>IF(AP128&lt;&gt;"",AP128/#REF!,"")</f>
        <v/>
      </c>
      <c r="AV128" s="60" t="str">
        <f>IF(AV105&lt;&gt;"",AV105-(AV109+AV114-AV124),"")</f>
        <v/>
      </c>
      <c r="AX128" s="60" t="str">
        <f>IF(AX105&lt;&gt;"",AX105-(AX109+AX114-AX124),"")</f>
        <v/>
      </c>
      <c r="BB128" s="93" t="str">
        <f>IF(AX128&lt;&gt;"",AX128/#REF!,"")</f>
        <v/>
      </c>
      <c r="BD128" s="60" t="str">
        <f>IF(BD105&lt;&gt;"",BD105-(BD109+BD114-BD124),"")</f>
        <v/>
      </c>
      <c r="BF128" s="60" t="str">
        <f>IF(BF105&lt;&gt;"",BF105-(BF109+BF114-BF124),"")</f>
        <v/>
      </c>
      <c r="BJ128" s="93" t="str">
        <f>IF(BF128&lt;&gt;"",BF128/#REF!,"")</f>
        <v/>
      </c>
      <c r="BL128" s="60" t="str">
        <f>IF(BL105&lt;&gt;"",BL105-(BL109+BL114-BL124),"")</f>
        <v/>
      </c>
      <c r="BN128" s="60" t="str">
        <f>IF(BN105&lt;&gt;"",BN105-(BN109+BN114-BN124),"")</f>
        <v/>
      </c>
      <c r="BR128" s="93" t="str">
        <f>IF(BN128&lt;&gt;"",BN128/#REF!,"")</f>
        <v/>
      </c>
      <c r="BT128" s="60" t="str">
        <f>IF(BT105&lt;&gt;"",BT105-(BT109+BT114-BT124),"")</f>
        <v/>
      </c>
      <c r="BV128" s="60" t="str">
        <f>IF(BV105&lt;&gt;"",BV105-(BV109+BV114-BV124),"")</f>
        <v/>
      </c>
      <c r="BZ128" s="93" t="str">
        <f>IF(BV128&lt;&gt;"",BV128/#REF!,"")</f>
        <v/>
      </c>
      <c r="CB128" s="60" t="str">
        <f>IF(CB105&lt;&gt;"",CB105-(CB109+CB114-CB124),"")</f>
        <v/>
      </c>
      <c r="CD128" s="60" t="str">
        <f>IF(CD105&lt;&gt;"",CD105-(CD109+CD114-CD124),"")</f>
        <v/>
      </c>
      <c r="CH128" s="93" t="str">
        <f>IF(CD128&lt;&gt;"",CD128/#REF!,"")</f>
        <v/>
      </c>
      <c r="CJ128" s="60" t="str">
        <f>IF(CJ105&lt;&gt;"",CJ105-(CJ109+CJ114-CJ124),"")</f>
        <v/>
      </c>
      <c r="CL128" s="60" t="str">
        <f>IF(CL105&lt;&gt;"",CL105-(CL109+CL114-CL124),"")</f>
        <v/>
      </c>
      <c r="CP128" s="93" t="str">
        <f>IF(CL128&lt;&gt;"",CL128/#REF!,"")</f>
        <v/>
      </c>
      <c r="CR128" s="60" t="str">
        <f>IF(CR105&lt;&gt;"",CR105-(CR109+CR114-CR124),"")</f>
        <v/>
      </c>
      <c r="CT128" s="60" t="str">
        <f>IF(CT105&lt;&gt;"",CT105-(CT109+CT114-CT124),"")</f>
        <v/>
      </c>
      <c r="CX128" s="93" t="str">
        <f>IF(CT128&lt;&gt;"",CT128/#REF!,"")</f>
        <v/>
      </c>
    </row>
    <row r="129" spans="2:102" ht="9" customHeight="1" thickBot="1" x14ac:dyDescent="0.35">
      <c r="F129" s="72"/>
      <c r="J129" s="41"/>
      <c r="N129" s="31"/>
      <c r="P129" s="41"/>
      <c r="Q129" s="14"/>
      <c r="R129" s="41"/>
      <c r="S129" s="14"/>
      <c r="T129" s="14"/>
      <c r="V129" s="31"/>
      <c r="X129" s="41"/>
      <c r="Y129" s="14"/>
      <c r="Z129" s="41"/>
      <c r="AA129" s="14"/>
      <c r="AB129" s="14"/>
      <c r="AC129" s="14"/>
      <c r="AD129" s="31"/>
      <c r="AF129" s="41"/>
      <c r="AG129" s="14"/>
      <c r="AH129" s="41"/>
      <c r="AI129" s="14"/>
      <c r="AJ129" s="14"/>
      <c r="AL129" s="31"/>
      <c r="AO129" s="14"/>
      <c r="AQ129" s="14"/>
      <c r="AR129" s="14"/>
      <c r="AT129" s="31"/>
      <c r="AV129" s="41"/>
      <c r="AW129" s="14"/>
      <c r="AX129" s="41"/>
      <c r="AY129" s="14"/>
      <c r="AZ129" s="14"/>
      <c r="BB129" s="31"/>
      <c r="BD129" s="41"/>
      <c r="BE129" s="14"/>
      <c r="BF129" s="41"/>
      <c r="BG129" s="14"/>
      <c r="BH129" s="14"/>
      <c r="BJ129" s="31"/>
      <c r="BM129" s="14"/>
      <c r="BO129" s="14"/>
      <c r="BP129" s="14"/>
      <c r="BR129" s="31"/>
      <c r="BU129" s="14"/>
      <c r="BW129" s="14"/>
      <c r="BX129" s="14"/>
      <c r="BZ129" s="31"/>
      <c r="CB129" s="41"/>
      <c r="CC129" s="14"/>
      <c r="CD129" s="41"/>
      <c r="CE129" s="14"/>
      <c r="CF129" s="14"/>
      <c r="CH129" s="31"/>
      <c r="CK129" s="14"/>
      <c r="CM129" s="14"/>
      <c r="CN129" s="14"/>
      <c r="CP129" s="31"/>
      <c r="CR129" s="41"/>
      <c r="CS129" s="14"/>
      <c r="CT129" s="41"/>
      <c r="CU129" s="14"/>
      <c r="CV129" s="14"/>
      <c r="CX129" s="31"/>
    </row>
    <row r="130" spans="2:102" ht="16.2" thickBot="1" x14ac:dyDescent="0.35">
      <c r="B130" s="206" t="s">
        <v>87</v>
      </c>
      <c r="C130" s="207"/>
      <c r="D130" s="107" t="e">
        <f>IF(D105&lt;&gt;"",((D103/D23)*D7),"")</f>
        <v>#DIV/0!</v>
      </c>
      <c r="E130" s="139" t="str">
        <f>IF(E105&lt;&gt;0,((E103/E23)*E7),"")</f>
        <v/>
      </c>
      <c r="F130" s="108" t="e">
        <f>IF(D130&lt;&gt;"",(1-(D130/D7)),"")</f>
        <v>#DIV/0!</v>
      </c>
      <c r="H130" s="14"/>
      <c r="I130" s="43"/>
      <c r="J130" s="29" t="str">
        <f>IF(J105&lt;&gt;"",((J103/J23)*J7),"")</f>
        <v/>
      </c>
      <c r="K130" s="43"/>
      <c r="M130" s="43"/>
      <c r="N130" s="44" t="e">
        <f>J130/#REF!</f>
        <v>#VALUE!</v>
      </c>
      <c r="P130" s="14"/>
      <c r="R130" s="29" t="str">
        <f>IF(R105&lt;&gt;"",((R103/R23)*R7),"")</f>
        <v/>
      </c>
      <c r="T130" s="14"/>
      <c r="U130" s="43"/>
      <c r="V130" s="44" t="e">
        <f>R130/#REF!</f>
        <v>#VALUE!</v>
      </c>
      <c r="X130" s="14"/>
      <c r="Z130" s="29" t="str">
        <f>IF(Z105&lt;&gt;"",((Z103/Z23)*Z7),"")</f>
        <v/>
      </c>
      <c r="AB130" s="14"/>
      <c r="AD130" s="44" t="e">
        <f>Z130/#REF!</f>
        <v>#VALUE!</v>
      </c>
      <c r="AF130" s="14"/>
      <c r="AH130" s="29" t="str">
        <f>IF(AH105&lt;&gt;"",((AH103/AH23)*AH7),"")</f>
        <v/>
      </c>
      <c r="AJ130" s="14"/>
      <c r="AK130" s="43"/>
      <c r="AL130" s="44" t="e">
        <f>AH130/#REF!</f>
        <v>#VALUE!</v>
      </c>
      <c r="AN130" s="14"/>
      <c r="AO130" s="43"/>
      <c r="AP130" s="29" t="str">
        <f>IF(AP105&lt;&gt;"",((AP103/AP23)*AP7),"")</f>
        <v/>
      </c>
      <c r="AQ130" s="43"/>
      <c r="AR130" s="14"/>
      <c r="AS130" s="43"/>
      <c r="AT130" s="44" t="e">
        <f>AP130/#REF!</f>
        <v>#VALUE!</v>
      </c>
      <c r="AV130" s="14"/>
      <c r="AX130" s="29" t="str">
        <f>IF(AX105&lt;&gt;"",((AX103/AX23)*AX7),"")</f>
        <v/>
      </c>
      <c r="AZ130" s="14"/>
      <c r="BA130" s="43"/>
      <c r="BB130" s="44" t="e">
        <f>AX130/#REF!</f>
        <v>#VALUE!</v>
      </c>
      <c r="BD130" s="14"/>
      <c r="BF130" s="29" t="str">
        <f>IF(BF105&lt;&gt;"",((BF103/BF23)*BF7),"")</f>
        <v/>
      </c>
      <c r="BH130" s="14"/>
      <c r="BI130" s="43"/>
      <c r="BJ130" s="44" t="e">
        <f>BF130/#REF!</f>
        <v>#VALUE!</v>
      </c>
      <c r="BL130" s="14"/>
      <c r="BM130" s="43"/>
      <c r="BN130" s="29" t="str">
        <f>IF(BN105&lt;&gt;"",((BN103/BN23)*BN7),"")</f>
        <v/>
      </c>
      <c r="BO130" s="43"/>
      <c r="BP130" s="14"/>
      <c r="BQ130" s="43"/>
      <c r="BR130" s="44" t="e">
        <f>BN130/#REF!</f>
        <v>#VALUE!</v>
      </c>
      <c r="BT130" s="14"/>
      <c r="BU130" s="43"/>
      <c r="BV130" s="29" t="str">
        <f>IF(BV105&lt;&gt;"",((BV103/BV23)*BV7),"")</f>
        <v/>
      </c>
      <c r="BW130" s="43"/>
      <c r="BX130" s="14"/>
      <c r="BY130" s="43"/>
      <c r="BZ130" s="44" t="e">
        <f>BV130/#REF!</f>
        <v>#VALUE!</v>
      </c>
      <c r="CB130" s="14"/>
      <c r="CD130" s="29" t="str">
        <f>IF(CD105&lt;&gt;"",((CD103/CD23)*CD7),"")</f>
        <v/>
      </c>
      <c r="CF130" s="14"/>
      <c r="CG130" s="43"/>
      <c r="CH130" s="44" t="e">
        <f>CD130/#REF!</f>
        <v>#VALUE!</v>
      </c>
      <c r="CJ130" s="14"/>
      <c r="CK130" s="43"/>
      <c r="CL130" s="29" t="str">
        <f>IF(CL105&lt;&gt;"",((CL103/CL23)*CL7),"")</f>
        <v/>
      </c>
      <c r="CM130" s="43"/>
      <c r="CN130" s="14"/>
      <c r="CO130" s="43"/>
      <c r="CP130" s="44" t="e">
        <f>CL130/#REF!</f>
        <v>#VALUE!</v>
      </c>
      <c r="CR130" s="14"/>
      <c r="CT130" s="29" t="str">
        <f>IF(CT105&lt;&gt;"",((CT103/CT23)*CT7),"")</f>
        <v/>
      </c>
      <c r="CV130" s="14"/>
      <c r="CW130" s="43"/>
      <c r="CX130" s="44" t="e">
        <f>CT130/#REF!</f>
        <v>#VALUE!</v>
      </c>
    </row>
    <row r="131" spans="2:102" ht="8.25" customHeight="1" thickBot="1" x14ac:dyDescent="0.35">
      <c r="F131" s="17"/>
      <c r="H131" s="14"/>
      <c r="P131" s="14"/>
      <c r="Q131" s="14"/>
      <c r="R131" s="14"/>
      <c r="S131" s="14"/>
      <c r="T131" s="14"/>
      <c r="X131" s="14"/>
      <c r="Y131" s="14"/>
      <c r="Z131" s="14"/>
      <c r="AA131" s="14"/>
      <c r="AB131" s="14"/>
      <c r="AC131" s="14"/>
      <c r="AF131" s="14"/>
      <c r="AG131" s="14"/>
      <c r="AH131" s="14"/>
      <c r="AI131" s="14"/>
      <c r="AJ131" s="14"/>
      <c r="AN131" s="14"/>
      <c r="AO131" s="14"/>
      <c r="AP131" s="14"/>
      <c r="AQ131" s="14"/>
      <c r="AR131" s="14"/>
      <c r="AV131" s="14"/>
      <c r="AW131" s="14"/>
      <c r="AX131" s="14"/>
      <c r="AY131" s="14"/>
      <c r="AZ131" s="14"/>
      <c r="BD131" s="14"/>
      <c r="BE131" s="14"/>
      <c r="BF131" s="14"/>
      <c r="BG131" s="14"/>
      <c r="BH131" s="14"/>
      <c r="BL131" s="14"/>
      <c r="BM131" s="14"/>
      <c r="BN131" s="14"/>
      <c r="BO131" s="14"/>
      <c r="BP131" s="14"/>
      <c r="BT131" s="14"/>
      <c r="BU131" s="14"/>
      <c r="BV131" s="14"/>
      <c r="BW131" s="14"/>
      <c r="BX131" s="14"/>
      <c r="CB131" s="14"/>
      <c r="CC131" s="14"/>
      <c r="CD131" s="14"/>
      <c r="CE131" s="14"/>
      <c r="CF131" s="14"/>
      <c r="CJ131" s="14"/>
      <c r="CK131" s="14"/>
      <c r="CL131" s="14"/>
      <c r="CM131" s="14"/>
      <c r="CN131" s="14"/>
      <c r="CR131" s="14"/>
      <c r="CS131" s="14"/>
      <c r="CT131" s="14"/>
      <c r="CU131" s="14"/>
      <c r="CV131" s="14"/>
    </row>
    <row r="132" spans="2:102" ht="16.2" thickBot="1" x14ac:dyDescent="0.35">
      <c r="B132" s="206" t="s">
        <v>136</v>
      </c>
      <c r="C132" s="207"/>
      <c r="D132" s="107" t="e">
        <f>IF(D7&lt;&gt;"",((D103+D109+D114)/D23)*D7,"")</f>
        <v>#DIV/0!</v>
      </c>
      <c r="E132" s="139" t="str">
        <f>IF(E7&lt;&gt;"",((E103+E109+E114)/E23)*E7,"")</f>
        <v/>
      </c>
      <c r="F132" s="108" t="e">
        <f>IF(D132&lt;&gt;"",((D23/D132)-1),"")</f>
        <v>#DIV/0!</v>
      </c>
      <c r="H132" s="14"/>
      <c r="I132" s="43"/>
      <c r="J132" s="29" t="str">
        <f>IF(J7&lt;&gt;"",((J103+J109+J114)/J23)*J7,"")</f>
        <v/>
      </c>
      <c r="K132" s="43"/>
      <c r="M132" s="43"/>
      <c r="N132" s="44" t="str">
        <f>IF(J132&lt;&gt;"",J132/#REF!,"")</f>
        <v/>
      </c>
      <c r="P132" s="14"/>
      <c r="R132" s="29" t="str">
        <f>IF(R7&lt;&gt;"",((R103+R109+R114)/R23)*R7,"")</f>
        <v/>
      </c>
      <c r="T132" s="14"/>
      <c r="U132" s="43"/>
      <c r="V132" s="44" t="str">
        <f>IF(R132&lt;&gt;"",R132/#REF!,"")</f>
        <v/>
      </c>
      <c r="X132" s="14"/>
      <c r="Z132" s="29" t="str">
        <f>IF(Z7&lt;&gt;"",((Z103+Z109+Z114)/Z23)*Z7,"")</f>
        <v/>
      </c>
      <c r="AB132" s="14"/>
      <c r="AD132" s="44" t="str">
        <f>IF(Z132&lt;&gt;"",Z132/#REF!,"")</f>
        <v/>
      </c>
      <c r="AF132" s="14"/>
      <c r="AH132" s="29" t="str">
        <f>IF(AH7&lt;&gt;"",((AH103+AH109+AH114)/AH23)*AH7,"")</f>
        <v/>
      </c>
      <c r="AJ132" s="14"/>
      <c r="AK132" s="43"/>
      <c r="AL132" s="44" t="str">
        <f>IF(AH132&lt;&gt;"",AH132/#REF!,"")</f>
        <v/>
      </c>
      <c r="AN132" s="14"/>
      <c r="AO132" s="43"/>
      <c r="AP132" s="29" t="str">
        <f>IF(AP7&lt;&gt;"",((AP103+AP109+AP114)/AP23)*AP7,"")</f>
        <v/>
      </c>
      <c r="AQ132" s="43"/>
      <c r="AR132" s="14"/>
      <c r="AS132" s="43"/>
      <c r="AT132" s="44" t="str">
        <f>IF(AP132&lt;&gt;"",AP132/#REF!,"")</f>
        <v/>
      </c>
      <c r="AV132" s="14"/>
      <c r="AX132" s="29" t="str">
        <f>IF(AX7&lt;&gt;"",((AX103+AX109+AX114)/AX23)*AX7,"")</f>
        <v/>
      </c>
      <c r="AZ132" s="14"/>
      <c r="BA132" s="43"/>
      <c r="BB132" s="44" t="str">
        <f>IF(AX132&lt;&gt;"",AX132/#REF!,"")</f>
        <v/>
      </c>
      <c r="BD132" s="14"/>
      <c r="BF132" s="29" t="str">
        <f>IF(BF7&lt;&gt;"",((BF103+BF109+BF114)/BF23)*BF7,"")</f>
        <v/>
      </c>
      <c r="BH132" s="14"/>
      <c r="BI132" s="43"/>
      <c r="BJ132" s="44" t="str">
        <f>IF(BF132&lt;&gt;"",BF132/#REF!,"")</f>
        <v/>
      </c>
      <c r="BL132" s="14"/>
      <c r="BM132" s="43"/>
      <c r="BN132" s="29" t="str">
        <f>IF(BN7&lt;&gt;"",((BN103+BN109+BN114)/BN23)*BN7,"")</f>
        <v/>
      </c>
      <c r="BO132" s="43"/>
      <c r="BP132" s="14"/>
      <c r="BQ132" s="43"/>
      <c r="BR132" s="44" t="str">
        <f>IF(BN132&lt;&gt;"",BN132/#REF!,"")</f>
        <v/>
      </c>
      <c r="BT132" s="14"/>
      <c r="BU132" s="43"/>
      <c r="BV132" s="29" t="str">
        <f>IF(BV7&lt;&gt;"",((BV103+BV109+BV114)/BV23)*BV7,"")</f>
        <v/>
      </c>
      <c r="BW132" s="43"/>
      <c r="BX132" s="14"/>
      <c r="BY132" s="43"/>
      <c r="BZ132" s="44" t="str">
        <f>IF(BV132&lt;&gt;"",BV132/#REF!,"")</f>
        <v/>
      </c>
      <c r="CB132" s="14"/>
      <c r="CD132" s="29" t="str">
        <f>IF(CD7&lt;&gt;"",((CD103+CD109+CD114)/CD23)*CD7,"")</f>
        <v/>
      </c>
      <c r="CF132" s="14"/>
      <c r="CG132" s="43"/>
      <c r="CH132" s="44" t="str">
        <f>IF(CD132&lt;&gt;"",CD132/#REF!,"")</f>
        <v/>
      </c>
      <c r="CJ132" s="14"/>
      <c r="CK132" s="43"/>
      <c r="CL132" s="29" t="str">
        <f>IF(CL7&lt;&gt;"",((CL103+CL109+CL114)/CL23)*CL7,"")</f>
        <v/>
      </c>
      <c r="CM132" s="43"/>
      <c r="CN132" s="14"/>
      <c r="CO132" s="43"/>
      <c r="CP132" s="44" t="str">
        <f>IF(CL132&lt;&gt;"",CL132/#REF!,"")</f>
        <v/>
      </c>
      <c r="CR132" s="14"/>
      <c r="CT132" s="29" t="str">
        <f>IF(CT7&lt;&gt;"",((CT103+CT109+CT114)/CT23)*CT7,"")</f>
        <v/>
      </c>
      <c r="CV132" s="14"/>
      <c r="CW132" s="43"/>
      <c r="CX132" s="44" t="str">
        <f>IF(CT132&lt;&gt;"",CT132/#REF!,"")</f>
        <v/>
      </c>
    </row>
    <row r="133" spans="2:102" x14ac:dyDescent="0.3">
      <c r="H133" s="14"/>
      <c r="P133" s="14"/>
      <c r="R133" s="14"/>
      <c r="X133" s="14"/>
      <c r="Z133" s="14"/>
      <c r="AF133" s="14"/>
      <c r="AH133" s="14"/>
      <c r="AN133" s="14"/>
      <c r="AP133" s="14"/>
      <c r="AV133" s="14"/>
      <c r="AX133" s="14"/>
      <c r="BD133" s="14"/>
      <c r="BF133" s="14"/>
      <c r="BL133" s="14"/>
      <c r="BN133" s="14"/>
      <c r="BT133" s="14"/>
      <c r="BV133" s="14"/>
      <c r="CB133" s="14"/>
      <c r="CD133" s="14"/>
      <c r="CJ133" s="14"/>
      <c r="CL133" s="14"/>
      <c r="CR133" s="14"/>
      <c r="CT133" s="14"/>
    </row>
    <row r="134" spans="2:102" x14ac:dyDescent="0.3">
      <c r="H134" s="14"/>
      <c r="P134" s="14"/>
      <c r="R134" s="14"/>
      <c r="X134" s="14"/>
      <c r="Z134" s="14"/>
      <c r="AF134" s="14"/>
      <c r="AH134" s="14"/>
      <c r="AN134" s="14"/>
      <c r="AP134" s="14"/>
      <c r="AV134" s="14"/>
      <c r="AX134" s="14"/>
      <c r="BD134" s="14"/>
      <c r="BF134" s="14"/>
      <c r="BL134" s="14"/>
      <c r="BN134" s="14"/>
      <c r="BT134" s="14"/>
      <c r="BV134" s="14"/>
      <c r="CB134" s="14"/>
      <c r="CD134" s="14"/>
      <c r="CJ134" s="14"/>
      <c r="CL134" s="14"/>
      <c r="CR134" s="14"/>
      <c r="CT134" s="14"/>
    </row>
    <row r="137" spans="2:102" x14ac:dyDescent="0.3">
      <c r="D137" s="122"/>
      <c r="F137" s="45"/>
    </row>
  </sheetData>
  <mergeCells count="36">
    <mergeCell ref="P2:V2"/>
    <mergeCell ref="B43:C43"/>
    <mergeCell ref="BT2:BZ2"/>
    <mergeCell ref="B11:C11"/>
    <mergeCell ref="B13:C13"/>
    <mergeCell ref="B23:C23"/>
    <mergeCell ref="B25:C25"/>
    <mergeCell ref="B27:C27"/>
    <mergeCell ref="CB2:CH2"/>
    <mergeCell ref="CJ2:CP2"/>
    <mergeCell ref="CR2:CX2"/>
    <mergeCell ref="B5:C5"/>
    <mergeCell ref="B7:C7"/>
    <mergeCell ref="X2:AD2"/>
    <mergeCell ref="AF2:AL2"/>
    <mergeCell ref="AN2:AT2"/>
    <mergeCell ref="AV2:BB2"/>
    <mergeCell ref="BD2:BJ2"/>
    <mergeCell ref="BL2:BR2"/>
    <mergeCell ref="B2:C3"/>
    <mergeCell ref="D2:D3"/>
    <mergeCell ref="E2:E3"/>
    <mergeCell ref="F2:F3"/>
    <mergeCell ref="H2:N2"/>
    <mergeCell ref="B132:C132"/>
    <mergeCell ref="B50:C50"/>
    <mergeCell ref="B75:C75"/>
    <mergeCell ref="B82:C82"/>
    <mergeCell ref="B93:C93"/>
    <mergeCell ref="B103:C103"/>
    <mergeCell ref="B105:C105"/>
    <mergeCell ref="B109:C109"/>
    <mergeCell ref="B114:C114"/>
    <mergeCell ref="B124:C124"/>
    <mergeCell ref="B128:C128"/>
    <mergeCell ref="B130:C130"/>
  </mergeCells>
  <pageMargins left="0.7" right="0.7" top="0.75" bottom="0.75" header="0.3" footer="0.3"/>
  <pageSetup paperSize="9" scale="25" fitToHeight="0" orientation="landscape" horizontalDpi="4294967293" r:id="rId1"/>
  <ignoredErrors>
    <ignoredError sqref="D7:D20 D22:D71 D74:D88 D92:D99 D112:D146 D102:D110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Vendas</vt:lpstr>
      <vt:lpstr>Formação de Preços de Venda</vt:lpstr>
      <vt:lpstr>2025 - Previsto x Realizado</vt:lpstr>
      <vt:lpstr>2023 - Previsto x Realizado</vt:lpstr>
      <vt:lpstr>Vendas!Area_de_impressao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R. Gomes Jr.</dc:creator>
  <cp:lastModifiedBy>Rodrigo Formigari</cp:lastModifiedBy>
  <cp:lastPrinted>2020-11-25T12:41:10Z</cp:lastPrinted>
  <dcterms:created xsi:type="dcterms:W3CDTF">2018-01-12T16:44:24Z</dcterms:created>
  <dcterms:modified xsi:type="dcterms:W3CDTF">2026-05-26T22:15:57Z</dcterms:modified>
</cp:coreProperties>
</file>