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updateLinks="always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8001_{8F362D16-9F37-414F-BB52-50A5D8B19929}" xr6:coauthVersionLast="47" xr6:coauthVersionMax="47" xr10:uidLastSave="{00000000-0000-0000-0000-000000000000}"/>
  <bookViews>
    <workbookView xWindow="-108" yWindow="-108" windowWidth="23256" windowHeight="12456" tabRatio="855" xr2:uid="{A823F8E2-DA81-446A-B830-C871D0C2B3FD}"/>
  </bookViews>
  <sheets>
    <sheet name="Maio 2.026" sheetId="5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65" i="51" l="1"/>
  <c r="D365" i="51"/>
  <c r="C54" i="51"/>
  <c r="D54" i="51"/>
  <c r="C143" i="51"/>
  <c r="D143" i="51"/>
  <c r="C341" i="51"/>
  <c r="C345" i="51" s="1"/>
  <c r="C400" i="51"/>
  <c r="D400" i="51"/>
  <c r="C422" i="51"/>
  <c r="C426" i="51" s="1"/>
  <c r="C470" i="51"/>
  <c r="D514" i="51" s="1"/>
  <c r="D470" i="51"/>
  <c r="C514" i="51"/>
  <c r="D422" i="51" l="1"/>
  <c r="D426" i="51" s="1"/>
  <c r="C517" i="51"/>
  <c r="D341" i="51"/>
  <c r="D345" i="51" s="1"/>
  <c r="F514" i="51" l="1"/>
  <c r="F341" i="51"/>
  <c r="E341" i="51" l="1"/>
  <c r="F422" i="51"/>
  <c r="E422" i="51" l="1"/>
</calcChain>
</file>

<file path=xl/sharedStrings.xml><?xml version="1.0" encoding="utf-8"?>
<sst xmlns="http://schemas.openxmlformats.org/spreadsheetml/2006/main" count="447" uniqueCount="253">
  <si>
    <t>Banco Itau 53613-3</t>
  </si>
  <si>
    <t>Data Pag</t>
  </si>
  <si>
    <t xml:space="preserve">Descrição de Pagamento e Recebimento </t>
  </si>
  <si>
    <t xml:space="preserve">Debito </t>
  </si>
  <si>
    <t xml:space="preserve">SAAE Refeitorio - MX Seguros </t>
  </si>
  <si>
    <t xml:space="preserve">SAAE MX Seguros </t>
  </si>
  <si>
    <t>Telefone Tim - 0606</t>
  </si>
  <si>
    <t>Telefone Tim - 0863</t>
  </si>
  <si>
    <t xml:space="preserve">Tarifa Bancaria </t>
  </si>
  <si>
    <t xml:space="preserve">Salario Ademilson </t>
  </si>
  <si>
    <t>Salario Daniel</t>
  </si>
  <si>
    <t xml:space="preserve">Salario Daniele </t>
  </si>
  <si>
    <t>Salario Edom</t>
  </si>
  <si>
    <t xml:space="preserve">Salario Emily </t>
  </si>
  <si>
    <t xml:space="preserve">Salario Felipe </t>
  </si>
  <si>
    <t xml:space="preserve">Salário Juliana </t>
  </si>
  <si>
    <t xml:space="preserve">Salario Talita </t>
  </si>
  <si>
    <t>Salario Marta - Faxineira</t>
  </si>
  <si>
    <t xml:space="preserve">Salario Pamela </t>
  </si>
  <si>
    <t xml:space="preserve">Salario Priscila Leite </t>
  </si>
  <si>
    <t xml:space="preserve">Salario Vivian </t>
  </si>
  <si>
    <t xml:space="preserve">Celular Daniele  </t>
  </si>
  <si>
    <t xml:space="preserve">Vale Alimentação - Funcionarios </t>
  </si>
  <si>
    <t>Telefone Vivo - Celulares</t>
  </si>
  <si>
    <t xml:space="preserve">Monitoramento - Vigilant </t>
  </si>
  <si>
    <t xml:space="preserve">Advogado - Lucas Sigolo </t>
  </si>
  <si>
    <t xml:space="preserve">Imposto FGTS  </t>
  </si>
  <si>
    <t>Imposto INSS</t>
  </si>
  <si>
    <t xml:space="preserve">Sistema Gestão Agger </t>
  </si>
  <si>
    <t>CRM Helena (mensal)</t>
  </si>
  <si>
    <t>Imposto Simples Nacional</t>
  </si>
  <si>
    <t>SLMIT - Office 365</t>
  </si>
  <si>
    <t xml:space="preserve">yeti Tecnologia - mensalidade </t>
  </si>
  <si>
    <t xml:space="preserve">yeti Tecnologia - Antivirus </t>
  </si>
  <si>
    <t>TELEFONE - 3843-4434/ 3863-8150/3813-3158/3863-7659</t>
  </si>
  <si>
    <t xml:space="preserve">Seguro Vida Colaboradores </t>
  </si>
  <si>
    <t xml:space="preserve">Salario Dri </t>
  </si>
  <si>
    <t>Aluguel Predio -  MX Seguros</t>
  </si>
  <si>
    <t xml:space="preserve">Celular CRM </t>
  </si>
  <si>
    <t xml:space="preserve">Salario Maiara </t>
  </si>
  <si>
    <t xml:space="preserve">Rodrigo Salario do Mês </t>
  </si>
  <si>
    <t>GASTOS VARIÁVEIS</t>
  </si>
  <si>
    <t>DÉBITOS</t>
  </si>
  <si>
    <t>Data de Pag/to</t>
  </si>
  <si>
    <t>Descrição dos pagamentos</t>
  </si>
  <si>
    <t>Itau 53613-3</t>
  </si>
  <si>
    <t xml:space="preserve">Grupo Exalt </t>
  </si>
  <si>
    <t xml:space="preserve">Zoho - Bign </t>
  </si>
  <si>
    <t xml:space="preserve">Facebk - Mensagens Automação </t>
  </si>
  <si>
    <t xml:space="preserve">Medital </t>
  </si>
  <si>
    <t xml:space="preserve">Custo Aguas de Lindoia </t>
  </si>
  <si>
    <t xml:space="preserve">Gastos Fixos </t>
  </si>
  <si>
    <t xml:space="preserve">Funcionaria Fernanda </t>
  </si>
  <si>
    <t xml:space="preserve">Telefone Celular </t>
  </si>
  <si>
    <t xml:space="preserve">Escritorio Itacont - Filial </t>
  </si>
  <si>
    <t>Internet - Aguas de Lindoia</t>
  </si>
  <si>
    <t xml:space="preserve">CPFL </t>
  </si>
  <si>
    <t xml:space="preserve">Agronegocio </t>
  </si>
  <si>
    <t xml:space="preserve">Alimentação Rodrigo </t>
  </si>
  <si>
    <t xml:space="preserve">Auto Posto Jaguar </t>
  </si>
  <si>
    <t xml:space="preserve">Investimentos Prolongados </t>
  </si>
  <si>
    <t xml:space="preserve">RECEBIMENTOS </t>
  </si>
  <si>
    <t xml:space="preserve">Data Recebimento </t>
  </si>
  <si>
    <t xml:space="preserve">COMPANHIAS DE SEGURO </t>
  </si>
  <si>
    <t xml:space="preserve">Creditos </t>
  </si>
  <si>
    <t xml:space="preserve">Conf. Extrato </t>
  </si>
  <si>
    <t xml:space="preserve">Bradesco Seguros </t>
  </si>
  <si>
    <t xml:space="preserve">Alfa Seguros </t>
  </si>
  <si>
    <t xml:space="preserve">Prudential Seguros </t>
  </si>
  <si>
    <t xml:space="preserve">Chubb Seguros </t>
  </si>
  <si>
    <t xml:space="preserve">Total Geral para Acerto </t>
  </si>
  <si>
    <t>Banco Itau</t>
  </si>
  <si>
    <t xml:space="preserve">Saldo </t>
  </si>
  <si>
    <t xml:space="preserve">Total Geral do Saldo para Acerto Futuro </t>
  </si>
  <si>
    <t xml:space="preserve">Banco Sicred  </t>
  </si>
  <si>
    <t xml:space="preserve">Salario Bruna </t>
  </si>
  <si>
    <t xml:space="preserve">Capital Social Sicred </t>
  </si>
  <si>
    <t xml:space="preserve">Tarifa Bancaria Sicred </t>
  </si>
  <si>
    <t xml:space="preserve">Variaveis </t>
  </si>
  <si>
    <t xml:space="preserve">Patrocinio dos Morcegos </t>
  </si>
  <si>
    <t xml:space="preserve">Construção </t>
  </si>
  <si>
    <t>Exalt Consultoria</t>
  </si>
  <si>
    <t xml:space="preserve">Banco Sicred </t>
  </si>
  <si>
    <t>Associação Comercial</t>
  </si>
  <si>
    <t>BS Conect (internet Mensal)</t>
  </si>
  <si>
    <t xml:space="preserve">Scansource - mensal </t>
  </si>
  <si>
    <t xml:space="preserve">Celular Priscila </t>
  </si>
  <si>
    <t>Escritorio Itacont</t>
  </si>
  <si>
    <t xml:space="preserve">Telefone - Vivo Fibra </t>
  </si>
  <si>
    <t xml:space="preserve">Imposto - ISS </t>
  </si>
  <si>
    <t>Papelaria Rispel</t>
  </si>
  <si>
    <t xml:space="preserve">Gasto Farmacia Colaboradores </t>
  </si>
  <si>
    <t xml:space="preserve">SRL Impressora - Aluguel </t>
  </si>
  <si>
    <t>Comercial Rio Branco</t>
  </si>
  <si>
    <t xml:space="preserve">Gasto com Marketing </t>
  </si>
  <si>
    <t>Grupo Exalt</t>
  </si>
  <si>
    <t xml:space="preserve">Patrocinio Eduardo Pedroso </t>
  </si>
  <si>
    <t xml:space="preserve">Pedagio PIX Rodrigo </t>
  </si>
  <si>
    <t xml:space="preserve">Plano Odontologio Colaboradores </t>
  </si>
  <si>
    <t>Reserva para funcionarios</t>
  </si>
  <si>
    <t>Mitsui Seguros</t>
  </si>
  <si>
    <t xml:space="preserve">Salario Tainá </t>
  </si>
  <si>
    <t xml:space="preserve">Salarios Livia </t>
  </si>
  <si>
    <t xml:space="preserve">Plano de saude Rodrigo </t>
  </si>
  <si>
    <t>Restaurante Ferian</t>
  </si>
  <si>
    <t>Applecombill</t>
  </si>
  <si>
    <t xml:space="preserve">SM Cubatão </t>
  </si>
  <si>
    <t>Patrocinio Ana Julia (baltazar)</t>
  </si>
  <si>
    <t>Rodrigo Robles</t>
  </si>
  <si>
    <t>Consorcio - Ctic 46/180</t>
  </si>
  <si>
    <t>Sura Seguros</t>
  </si>
  <si>
    <t>Yelum Seguros</t>
  </si>
  <si>
    <t xml:space="preserve">Banco Santander </t>
  </si>
  <si>
    <t xml:space="preserve">Descrição de Pagamento </t>
  </si>
  <si>
    <t>Cartão BTG</t>
  </si>
  <si>
    <t xml:space="preserve">Salario Franciele </t>
  </si>
  <si>
    <t xml:space="preserve">Salario Yuri Neves </t>
  </si>
  <si>
    <t xml:space="preserve">Salario Jessica </t>
  </si>
  <si>
    <t xml:space="preserve">Salario Jose Alcides </t>
  </si>
  <si>
    <t xml:space="preserve">Salario Lara </t>
  </si>
  <si>
    <t xml:space="preserve">Capitalização </t>
  </si>
  <si>
    <t xml:space="preserve">AUTO POSTO SANTA MARTA </t>
  </si>
  <si>
    <t xml:space="preserve">Adicional - Gu </t>
  </si>
  <si>
    <t xml:space="preserve">Construção - Rodrigo </t>
  </si>
  <si>
    <t>Consorcio Porto 20/90</t>
  </si>
  <si>
    <t>Consorcio Porto 102/200</t>
  </si>
  <si>
    <t>Consorcio Predinho 37/189</t>
  </si>
  <si>
    <t xml:space="preserve">Exalt Saude </t>
  </si>
  <si>
    <t xml:space="preserve">Descrição de Recebimento </t>
  </si>
  <si>
    <t xml:space="preserve">Vida - Porto Seguro </t>
  </si>
  <si>
    <t>Balancete do Mês de Maio de 2026</t>
  </si>
  <si>
    <t>Parcela Mensal SLMIT</t>
  </si>
  <si>
    <t xml:space="preserve">Antecipação Salario Rodrigo </t>
  </si>
  <si>
    <t xml:space="preserve">Consultoria Robertinho </t>
  </si>
  <si>
    <t xml:space="preserve">Nucci Engenharia </t>
  </si>
  <si>
    <t>Premiação Blue Play</t>
  </si>
  <si>
    <t>Plano Saude Gu pgto 23/04</t>
  </si>
  <si>
    <t>Antecipação Salario Rodrigo (acerto Pai Ex)</t>
  </si>
  <si>
    <t>Aplicativo - Iconenseg</t>
  </si>
  <si>
    <t xml:space="preserve">Pix Qr Code </t>
  </si>
  <si>
    <t xml:space="preserve">IPVA Kiwd - CMX-1H22 5/5 - troca férias Daniel </t>
  </si>
  <si>
    <t>IPVA Rampage CMX-5C92 5/5</t>
  </si>
  <si>
    <t>IPVA Kiwd - CMX-7G73 5/5</t>
  </si>
  <si>
    <t>Antecipação Pronamp do Caixa 11/37</t>
  </si>
  <si>
    <t>46/48 parcela dos Kwilds + Tarifa Bancaria termino (06/2026)</t>
  </si>
  <si>
    <t xml:space="preserve">Pronamp Bradesco 31/42 termino (02/2027) </t>
  </si>
  <si>
    <t>LYS Moveis (Iveco ESZ-5H33 R$ 8796,72 - troca Moveis) 5/6</t>
  </si>
  <si>
    <t xml:space="preserve">Posto Combustivel - Tanque </t>
  </si>
  <si>
    <t xml:space="preserve">Papelaria - Copia documentos - PIX Fran </t>
  </si>
  <si>
    <t xml:space="preserve">Evento Kenda </t>
  </si>
  <si>
    <t>Dubraz - Torneira e Camera Intebras</t>
  </si>
  <si>
    <t>Ativa - Aluguel Carro Tiago Felicio (extensão)</t>
  </si>
  <si>
    <t>GUERRA COMUNICAÇÃO - DOMINIO 3/6</t>
  </si>
  <si>
    <t>hering 3/5</t>
  </si>
  <si>
    <t>Viagem 2/4 (troca doTelão)</t>
  </si>
  <si>
    <t>Hering 2/5</t>
  </si>
  <si>
    <t>Summit Exalt 2/2</t>
  </si>
  <si>
    <t>BNI  2/12</t>
  </si>
  <si>
    <t>Seguro Kwid Bruna 2/12</t>
  </si>
  <si>
    <t>Mercado Livre 2/3</t>
  </si>
  <si>
    <t xml:space="preserve">Estorno Mercado Livre </t>
  </si>
  <si>
    <t xml:space="preserve">Google One </t>
  </si>
  <si>
    <t>Devolução IOF</t>
  </si>
  <si>
    <t>Mercado Livre 01/03</t>
  </si>
  <si>
    <t>Mercado Livre Monitor 01/2</t>
  </si>
  <si>
    <t>Seguro Caminhonete Kenda Mapfre 10/12</t>
  </si>
  <si>
    <t>Porshe Bogus 1/4</t>
  </si>
  <si>
    <t>Seguro Diego Consorcio 8/10</t>
  </si>
  <si>
    <t>IoF Transações Internacionais</t>
  </si>
  <si>
    <t>Assistencia Sinicor - Ref. Mês  2/2</t>
  </si>
  <si>
    <t>Registro de Imoveis - Eder Rafael</t>
  </si>
  <si>
    <t xml:space="preserve"> 21/05/2026</t>
  </si>
  <si>
    <t xml:space="preserve">Pix Qr Code - Almoço São Paulo </t>
  </si>
  <si>
    <t>Pix Qr Code - Janta em Campinas</t>
  </si>
  <si>
    <t xml:space="preserve">Transferência Sicred - Pagamento Financiamento Strada </t>
  </si>
  <si>
    <t>Férias Vivian - 10 dias Referente 2025</t>
  </si>
  <si>
    <t>Correios</t>
  </si>
  <si>
    <t>Talita Nucci 2/4</t>
  </si>
  <si>
    <t>Doação Festa Junina Sepin</t>
  </si>
  <si>
    <t>Camisetas da Copa 1/3</t>
  </si>
  <si>
    <t>Padaria Natã</t>
  </si>
  <si>
    <t>Escola Nacional de Seguros Funenseg (Dri)</t>
  </si>
  <si>
    <t xml:space="preserve">Detetização MX / Casinha </t>
  </si>
  <si>
    <t>De Felipe - Seguro Frota 5/6 (troca de Juros)</t>
  </si>
  <si>
    <t xml:space="preserve">Aluguel Ponto Aguas de Lindoia </t>
  </si>
  <si>
    <t>Seguro Onix</t>
  </si>
  <si>
    <t>Tokio Marine Seguros</t>
  </si>
  <si>
    <t>Akad Seguros</t>
  </si>
  <si>
    <t>Hdi Seguros</t>
  </si>
  <si>
    <t>Allianz Seguros</t>
  </si>
  <si>
    <t xml:space="preserve">Sul América </t>
  </si>
  <si>
    <t>Bradesco Seguros</t>
  </si>
  <si>
    <t>Mapfre Seguros</t>
  </si>
  <si>
    <t>Prudential Seguros</t>
  </si>
  <si>
    <t>Zurich Seguros</t>
  </si>
  <si>
    <t>Chubb Serguros</t>
  </si>
  <si>
    <t>Axa Seguros</t>
  </si>
  <si>
    <t>Suhai Seguros</t>
  </si>
  <si>
    <t>Sompo Seguros</t>
  </si>
  <si>
    <t>Yelum</t>
  </si>
  <si>
    <t>Odonto Prev</t>
  </si>
  <si>
    <t>Darwin Seguros</t>
  </si>
  <si>
    <t>Sul América</t>
  </si>
  <si>
    <t>Metropole Life</t>
  </si>
  <si>
    <t>Ezze Seguros</t>
  </si>
  <si>
    <t xml:space="preserve">Fair Fax </t>
  </si>
  <si>
    <t>Kovr Seguradora</t>
  </si>
  <si>
    <t>Axa Seguradora</t>
  </si>
  <si>
    <t>Bradesco Saúde</t>
  </si>
  <si>
    <t>Bradesco Vida</t>
  </si>
  <si>
    <t>Allseg Seguros</t>
  </si>
  <si>
    <t>Rendimento de Aplicação</t>
  </si>
  <si>
    <t xml:space="preserve">Porto - Carro Reserva Thiago </t>
  </si>
  <si>
    <t xml:space="preserve">Balancete do Mês de Maio de 2026 - Sicred </t>
  </si>
  <si>
    <t xml:space="preserve">Relogio ponto - Mensal </t>
  </si>
  <si>
    <t>CPFl- Escritório</t>
  </si>
  <si>
    <t xml:space="preserve">Ovos de Paschoa 2/4 - PIX </t>
  </si>
  <si>
    <t>Schol Moveis (Strada - troca Moveis) 6/6</t>
  </si>
  <si>
    <t>Donati (reforma Cabos) 2/2</t>
  </si>
  <si>
    <t>Junior - Oficina (Kwid)</t>
  </si>
  <si>
    <t>Funilaria Edson - Conserto Daniela</t>
  </si>
  <si>
    <t>0605/2026</t>
  </si>
  <si>
    <t>Ativa - Aluguel Carro Tiago Felicio</t>
  </si>
  <si>
    <t>Assistencia Sinicor - Ref. Mês  1/2</t>
  </si>
  <si>
    <t xml:space="preserve">Exame Influenza Edom - Bruna </t>
  </si>
  <si>
    <t xml:space="preserve">Relogio - Lalo </t>
  </si>
  <si>
    <t>Financiamento Strada 16/24</t>
  </si>
  <si>
    <t xml:space="preserve">Transferência - Pagamento Financiamento Strada </t>
  </si>
  <si>
    <t>Antecipação Salario Rodrigo (acerto 30/04 pai)</t>
  </si>
  <si>
    <t>Antecipação Salario Rodrigo (Cartão Credito)</t>
  </si>
  <si>
    <t>Exalt one 3/12</t>
  </si>
  <si>
    <t xml:space="preserve">IPVA BYD 3/5 - Aplicação </t>
  </si>
  <si>
    <t xml:space="preserve">Fabiano Franco 5/10 - Acordo de Produção </t>
  </si>
  <si>
    <t xml:space="preserve">Seguro Rampage 3/12 - Cartão Porto Rodrigo - Cartão PF Rodrigo </t>
  </si>
  <si>
    <t>Calças (unifiorme MX) - Cartão PF Rodrigo</t>
  </si>
  <si>
    <t>Seguro Tank  - Cartão PF Rodrigo</t>
  </si>
  <si>
    <t xml:space="preserve">Conect Car  - Cartão Porto Rodrigo -  Cartão PF Rodrigo </t>
  </si>
  <si>
    <t>Sura Seguros  - Cartão PF Rodrigo</t>
  </si>
  <si>
    <t xml:space="preserve">Conect Car  - Cartão Porto Rodrigo - Cartão PF Rodrigo </t>
  </si>
  <si>
    <t xml:space="preserve">Funenseg - Curso Corretor 10/12 - Cartão PF Rodrigo </t>
  </si>
  <si>
    <t>Max Set -Uno (6094) Zurich  4/4</t>
  </si>
  <si>
    <t>Emprestimo Pronamp 39/42 (termino 22/08/26)</t>
  </si>
  <si>
    <t>Financiamento Tank 02/36</t>
  </si>
  <si>
    <t>Max Set -Uno (4669) Zurich  4/4</t>
  </si>
  <si>
    <t>Crédito</t>
  </si>
  <si>
    <t>Conf. Extrato</t>
  </si>
  <si>
    <t>Porto Seguro</t>
  </si>
  <si>
    <t xml:space="preserve">Saude -  Porto </t>
  </si>
  <si>
    <t>Mag Seguros</t>
  </si>
  <si>
    <t>Personal Care</t>
  </si>
  <si>
    <t>Porto Saude</t>
  </si>
  <si>
    <t>Mongeral Seguros</t>
  </si>
  <si>
    <t xml:space="preserve">Regaste de Aplicação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</si>
</sst>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* #,##0.00_);_(* \(#,##0.00\);_(* &quot;-&quot;??_);_(@_)"/>
    <numFmt numFmtId="165" formatCode="_(&quot;R$ &quot;* #,##0.00_);_(&quot;R$ &quot;* \(#,##0.00\);_(&quot;R$ &quot;* &quot;-&quot;??_);_(@_)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name val="Arial"/>
      <family val="2"/>
    </font>
    <font>
      <sz val="10"/>
      <color indexed="10"/>
      <name val="Arial"/>
      <family val="2"/>
    </font>
    <font>
      <sz val="10"/>
      <color indexed="12"/>
      <name val="Arial"/>
      <family val="2"/>
    </font>
    <font>
      <b/>
      <sz val="10"/>
      <name val="Arial"/>
      <family val="2"/>
    </font>
    <font>
      <b/>
      <i/>
      <u/>
      <sz val="14"/>
      <name val="Arial"/>
      <family val="2"/>
    </font>
    <font>
      <b/>
      <i/>
      <u/>
      <sz val="10"/>
      <color indexed="10"/>
      <name val="Arial"/>
      <family val="2"/>
    </font>
    <font>
      <b/>
      <i/>
      <u/>
      <sz val="10"/>
      <name val="Arial"/>
      <family val="2"/>
    </font>
    <font>
      <b/>
      <sz val="10"/>
      <color indexed="10"/>
      <name val="Arial"/>
      <family val="2"/>
    </font>
    <font>
      <b/>
      <sz val="10"/>
      <color rgb="FF002060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b/>
      <sz val="20"/>
      <color theme="8" tint="-0.499984740745262"/>
      <name val="Arial"/>
      <family val="2"/>
    </font>
    <font>
      <sz val="10"/>
      <color rgb="FFFF0000"/>
      <name val="Arial"/>
      <family val="2"/>
    </font>
    <font>
      <b/>
      <sz val="10"/>
      <color theme="8" tint="-0.499984740745262"/>
      <name val="Arial"/>
      <family val="2"/>
    </font>
    <font>
      <b/>
      <sz val="10"/>
      <color indexed="12"/>
      <name val="Arial"/>
      <family val="2"/>
    </font>
    <font>
      <b/>
      <sz val="10"/>
      <color theme="1"/>
      <name val="Arial"/>
      <family val="2"/>
    </font>
    <font>
      <b/>
      <sz val="14"/>
      <color indexed="12"/>
      <name val="Arial"/>
      <family val="2"/>
    </font>
    <font>
      <sz val="11"/>
      <color rgb="FFFF0000"/>
      <name val="Calibri"/>
      <family val="2"/>
      <scheme val="minor"/>
    </font>
    <font>
      <b/>
      <sz val="10"/>
      <color rgb="FFFF000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u/>
      <sz val="11"/>
      <name val="Arial"/>
      <family val="2"/>
    </font>
    <font>
      <b/>
      <i/>
      <sz val="14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sz val="9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1" fillId="0" borderId="0"/>
  </cellStyleXfs>
  <cellXfs count="141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164" fontId="4" fillId="0" borderId="0" xfId="1" applyNumberFormat="1" applyFont="1" applyBorder="1"/>
    <xf numFmtId="164" fontId="3" fillId="0" borderId="0" xfId="1" applyNumberFormat="1" applyFont="1" applyBorder="1"/>
    <xf numFmtId="0" fontId="5" fillId="0" borderId="0" xfId="0" applyFont="1"/>
    <xf numFmtId="0" fontId="6" fillId="0" borderId="1" xfId="0" applyFont="1" applyBorder="1" applyAlignment="1">
      <alignment horizontal="center"/>
    </xf>
    <xf numFmtId="14" fontId="9" fillId="0" borderId="5" xfId="0" applyNumberFormat="1" applyFont="1" applyBorder="1" applyAlignment="1">
      <alignment horizontal="center"/>
    </xf>
    <xf numFmtId="0" fontId="5" fillId="2" borderId="5" xfId="0" applyFont="1" applyFill="1" applyBorder="1"/>
    <xf numFmtId="164" fontId="0" fillId="0" borderId="0" xfId="1" applyNumberFormat="1" applyFont="1"/>
    <xf numFmtId="0" fontId="10" fillId="3" borderId="6" xfId="0" applyFont="1" applyFill="1" applyBorder="1" applyAlignment="1">
      <alignment horizontal="center"/>
    </xf>
    <xf numFmtId="0" fontId="10" fillId="3" borderId="7" xfId="0" applyFont="1" applyFill="1" applyBorder="1" applyAlignment="1">
      <alignment horizontal="center"/>
    </xf>
    <xf numFmtId="164" fontId="0" fillId="0" borderId="0" xfId="1" applyNumberFormat="1" applyFont="1" applyBorder="1"/>
    <xf numFmtId="0" fontId="11" fillId="3" borderId="9" xfId="0" applyFont="1" applyFill="1" applyBorder="1" applyAlignment="1">
      <alignment horizontal="center"/>
    </xf>
    <xf numFmtId="0" fontId="5" fillId="3" borderId="10" xfId="0" applyFont="1" applyFill="1" applyBorder="1" applyAlignment="1">
      <alignment horizontal="center"/>
    </xf>
    <xf numFmtId="14" fontId="5" fillId="4" borderId="9" xfId="0" applyNumberFormat="1" applyFont="1" applyFill="1" applyBorder="1" applyAlignment="1">
      <alignment horizontal="center"/>
    </xf>
    <xf numFmtId="0" fontId="12" fillId="4" borderId="10" xfId="0" applyFont="1" applyFill="1" applyBorder="1" applyAlignment="1">
      <alignment horizontal="center"/>
    </xf>
    <xf numFmtId="43" fontId="0" fillId="0" borderId="0" xfId="1" applyFont="1" applyBorder="1"/>
    <xf numFmtId="165" fontId="9" fillId="0" borderId="14" xfId="2" applyNumberFormat="1" applyFont="1" applyBorder="1" applyAlignment="1"/>
    <xf numFmtId="165" fontId="9" fillId="0" borderId="18" xfId="2" applyNumberFormat="1" applyFont="1" applyBorder="1" applyAlignment="1"/>
    <xf numFmtId="14" fontId="4" fillId="0" borderId="4" xfId="0" applyNumberFormat="1" applyFont="1" applyBorder="1"/>
    <xf numFmtId="0" fontId="4" fillId="0" borderId="4" xfId="0" applyFont="1" applyBorder="1" applyAlignment="1">
      <alignment horizontal="center"/>
    </xf>
    <xf numFmtId="14" fontId="17" fillId="0" borderId="9" xfId="0" applyNumberFormat="1" applyFont="1" applyBorder="1"/>
    <xf numFmtId="164" fontId="5" fillId="0" borderId="21" xfId="0" applyNumberFormat="1" applyFont="1" applyBorder="1"/>
    <xf numFmtId="14" fontId="4" fillId="0" borderId="5" xfId="0" applyNumberFormat="1" applyFont="1" applyBorder="1"/>
    <xf numFmtId="0" fontId="6" fillId="0" borderId="10" xfId="0" applyFont="1" applyBorder="1" applyAlignment="1">
      <alignment horizontal="right"/>
    </xf>
    <xf numFmtId="164" fontId="16" fillId="0" borderId="22" xfId="1" applyNumberFormat="1" applyFont="1" applyBorder="1"/>
    <xf numFmtId="164" fontId="9" fillId="0" borderId="23" xfId="1" applyNumberFormat="1" applyFont="1" applyBorder="1"/>
    <xf numFmtId="0" fontId="6" fillId="0" borderId="24" xfId="0" applyFont="1" applyBorder="1" applyAlignment="1">
      <alignment horizontal="left"/>
    </xf>
    <xf numFmtId="0" fontId="4" fillId="0" borderId="25" xfId="0" applyFont="1" applyBorder="1"/>
    <xf numFmtId="165" fontId="18" fillId="0" borderId="12" xfId="2" applyNumberFormat="1" applyFont="1" applyBorder="1"/>
    <xf numFmtId="164" fontId="0" fillId="0" borderId="0" xfId="0" applyNumberFormat="1"/>
    <xf numFmtId="43" fontId="0" fillId="0" borderId="0" xfId="1" applyFont="1"/>
    <xf numFmtId="43" fontId="0" fillId="0" borderId="0" xfId="0" applyNumberFormat="1"/>
    <xf numFmtId="43" fontId="22" fillId="0" borderId="0" xfId="1" applyFont="1" applyBorder="1"/>
    <xf numFmtId="0" fontId="19" fillId="0" borderId="0" xfId="0" applyFont="1"/>
    <xf numFmtId="0" fontId="24" fillId="0" borderId="0" xfId="0" applyFont="1" applyAlignment="1">
      <alignment horizontal="center"/>
    </xf>
    <xf numFmtId="164" fontId="3" fillId="0" borderId="0" xfId="1" applyNumberFormat="1" applyFont="1" applyFill="1" applyBorder="1"/>
    <xf numFmtId="0" fontId="2" fillId="0" borderId="0" xfId="0" applyFont="1"/>
    <xf numFmtId="0" fontId="12" fillId="4" borderId="26" xfId="0" applyFont="1" applyFill="1" applyBorder="1" applyAlignment="1">
      <alignment horizontal="center"/>
    </xf>
    <xf numFmtId="43" fontId="5" fillId="0" borderId="0" xfId="1" applyFont="1"/>
    <xf numFmtId="43" fontId="2" fillId="0" borderId="0" xfId="1" applyFont="1" applyAlignment="1">
      <alignment horizontal="center"/>
    </xf>
    <xf numFmtId="14" fontId="3" fillId="0" borderId="0" xfId="0" applyNumberFormat="1" applyFont="1"/>
    <xf numFmtId="0" fontId="5" fillId="0" borderId="0" xfId="0" applyFont="1" applyAlignment="1">
      <alignment horizontal="left"/>
    </xf>
    <xf numFmtId="43" fontId="0" fillId="0" borderId="0" xfId="1" applyFont="1" applyFill="1"/>
    <xf numFmtId="43" fontId="9" fillId="0" borderId="1" xfId="1" applyFont="1" applyBorder="1" applyAlignment="1"/>
    <xf numFmtId="43" fontId="4" fillId="0" borderId="0" xfId="1" applyFont="1" applyBorder="1"/>
    <xf numFmtId="43" fontId="9" fillId="0" borderId="0" xfId="1" applyFont="1" applyBorder="1" applyAlignment="1"/>
    <xf numFmtId="43" fontId="16" fillId="0" borderId="4" xfId="1" applyFont="1" applyBorder="1" applyAlignment="1">
      <alignment vertical="center"/>
    </xf>
    <xf numFmtId="43" fontId="5" fillId="0" borderId="0" xfId="1" applyFont="1" applyAlignment="1">
      <alignment horizontal="left"/>
    </xf>
    <xf numFmtId="43" fontId="16" fillId="0" borderId="22" xfId="1" applyFont="1" applyBorder="1"/>
    <xf numFmtId="43" fontId="5" fillId="0" borderId="21" xfId="1" applyFont="1" applyBorder="1"/>
    <xf numFmtId="43" fontId="23" fillId="0" borderId="0" xfId="1" applyFont="1"/>
    <xf numFmtId="0" fontId="12" fillId="4" borderId="32" xfId="0" applyFont="1" applyFill="1" applyBorder="1" applyAlignment="1">
      <alignment horizontal="center"/>
    </xf>
    <xf numFmtId="43" fontId="5" fillId="0" borderId="0" xfId="0" applyNumberFormat="1" applyFont="1"/>
    <xf numFmtId="14" fontId="9" fillId="7" borderId="5" xfId="0" applyNumberFormat="1" applyFont="1" applyFill="1" applyBorder="1" applyAlignment="1">
      <alignment horizontal="center"/>
    </xf>
    <xf numFmtId="14" fontId="9" fillId="0" borderId="4" xfId="0" applyNumberFormat="1" applyFont="1" applyBorder="1" applyAlignment="1">
      <alignment horizontal="center"/>
    </xf>
    <xf numFmtId="0" fontId="5" fillId="2" borderId="4" xfId="0" applyFont="1" applyFill="1" applyBorder="1"/>
    <xf numFmtId="14" fontId="9" fillId="7" borderId="30" xfId="0" applyNumberFormat="1" applyFont="1" applyFill="1" applyBorder="1" applyAlignment="1">
      <alignment horizontal="center"/>
    </xf>
    <xf numFmtId="0" fontId="5" fillId="2" borderId="30" xfId="0" applyFont="1" applyFill="1" applyBorder="1"/>
    <xf numFmtId="14" fontId="9" fillId="0" borderId="30" xfId="0" applyNumberFormat="1" applyFont="1" applyBorder="1" applyAlignment="1">
      <alignment horizontal="center"/>
    </xf>
    <xf numFmtId="43" fontId="9" fillId="0" borderId="5" xfId="2" applyNumberFormat="1" applyFont="1" applyBorder="1" applyAlignment="1"/>
    <xf numFmtId="0" fontId="5" fillId="2" borderId="34" xfId="0" applyFont="1" applyFill="1" applyBorder="1"/>
    <xf numFmtId="0" fontId="5" fillId="2" borderId="30" xfId="0" applyFont="1" applyFill="1" applyBorder="1" applyAlignment="1">
      <alignment horizontal="left" vertical="center"/>
    </xf>
    <xf numFmtId="14" fontId="9" fillId="7" borderId="33" xfId="0" applyNumberFormat="1" applyFont="1" applyFill="1" applyBorder="1" applyAlignment="1">
      <alignment horizontal="center"/>
    </xf>
    <xf numFmtId="164" fontId="19" fillId="0" borderId="0" xfId="1" applyNumberFormat="1" applyFont="1"/>
    <xf numFmtId="14" fontId="9" fillId="0" borderId="29" xfId="0" applyNumberFormat="1" applyFont="1" applyBorder="1" applyAlignment="1">
      <alignment horizontal="center"/>
    </xf>
    <xf numFmtId="14" fontId="5" fillId="8" borderId="9" xfId="0" applyNumberFormat="1" applyFont="1" applyFill="1" applyBorder="1" applyAlignment="1">
      <alignment horizontal="center"/>
    </xf>
    <xf numFmtId="0" fontId="27" fillId="2" borderId="5" xfId="0" applyFont="1" applyFill="1" applyBorder="1"/>
    <xf numFmtId="0" fontId="6" fillId="0" borderId="19" xfId="0" applyFont="1" applyBorder="1" applyAlignment="1">
      <alignment horizontal="center"/>
    </xf>
    <xf numFmtId="14" fontId="17" fillId="0" borderId="31" xfId="0" applyNumberFormat="1" applyFont="1" applyBorder="1"/>
    <xf numFmtId="43" fontId="9" fillId="0" borderId="30" xfId="2" applyNumberFormat="1" applyFont="1" applyBorder="1" applyAlignment="1"/>
    <xf numFmtId="43" fontId="9" fillId="0" borderId="4" xfId="2" applyNumberFormat="1" applyFont="1" applyBorder="1" applyAlignment="1"/>
    <xf numFmtId="43" fontId="9" fillId="0" borderId="0" xfId="2" applyNumberFormat="1" applyFont="1" applyBorder="1" applyAlignment="1"/>
    <xf numFmtId="43" fontId="2" fillId="0" borderId="0" xfId="0" applyNumberFormat="1" applyFont="1" applyAlignment="1">
      <alignment horizontal="center"/>
    </xf>
    <xf numFmtId="43" fontId="9" fillId="0" borderId="1" xfId="2" applyNumberFormat="1" applyFont="1" applyBorder="1" applyAlignment="1"/>
    <xf numFmtId="43" fontId="9" fillId="0" borderId="8" xfId="2" applyNumberFormat="1" applyFont="1" applyBorder="1" applyAlignment="1">
      <alignment horizontal="center"/>
    </xf>
    <xf numFmtId="43" fontId="9" fillId="0" borderId="11" xfId="2" applyNumberFormat="1" applyFont="1" applyBorder="1" applyAlignment="1"/>
    <xf numFmtId="43" fontId="9" fillId="0" borderId="15" xfId="2" applyNumberFormat="1" applyFont="1" applyBorder="1" applyAlignment="1"/>
    <xf numFmtId="43" fontId="14" fillId="0" borderId="15" xfId="2" applyNumberFormat="1" applyFont="1" applyBorder="1" applyAlignment="1">
      <alignment horizontal="center"/>
    </xf>
    <xf numFmtId="43" fontId="14" fillId="0" borderId="0" xfId="2" applyNumberFormat="1" applyFont="1" applyBorder="1" applyAlignment="1">
      <alignment horizontal="center"/>
    </xf>
    <xf numFmtId="43" fontId="16" fillId="0" borderId="4" xfId="2" applyNumberFormat="1" applyFont="1" applyBorder="1" applyAlignment="1">
      <alignment vertical="center"/>
    </xf>
    <xf numFmtId="43" fontId="16" fillId="0" borderId="0" xfId="1" applyFont="1" applyBorder="1"/>
    <xf numFmtId="43" fontId="6" fillId="0" borderId="25" xfId="0" applyNumberFormat="1" applyFont="1" applyBorder="1"/>
    <xf numFmtId="43" fontId="2" fillId="0" borderId="0" xfId="0" applyNumberFormat="1" applyFont="1"/>
    <xf numFmtId="43" fontId="9" fillId="7" borderId="35" xfId="2" applyNumberFormat="1" applyFont="1" applyFill="1" applyBorder="1" applyAlignment="1"/>
    <xf numFmtId="43" fontId="9" fillId="7" borderId="30" xfId="2" applyNumberFormat="1" applyFont="1" applyFill="1" applyBorder="1" applyAlignment="1"/>
    <xf numFmtId="43" fontId="9" fillId="0" borderId="0" xfId="1" applyFont="1" applyBorder="1"/>
    <xf numFmtId="43" fontId="9" fillId="0" borderId="27" xfId="2" applyNumberFormat="1" applyFont="1" applyBorder="1" applyAlignment="1"/>
    <xf numFmtId="14" fontId="5" fillId="4" borderId="40" xfId="0" applyNumberFormat="1" applyFont="1" applyFill="1" applyBorder="1" applyAlignment="1">
      <alignment horizontal="center"/>
    </xf>
    <xf numFmtId="0" fontId="12" fillId="4" borderId="41" xfId="0" applyFont="1" applyFill="1" applyBorder="1" applyAlignment="1">
      <alignment horizontal="center"/>
    </xf>
    <xf numFmtId="14" fontId="5" fillId="4" borderId="30" xfId="0" applyNumberFormat="1" applyFont="1" applyFill="1" applyBorder="1" applyAlignment="1">
      <alignment horizontal="center"/>
    </xf>
    <xf numFmtId="0" fontId="12" fillId="4" borderId="30" xfId="0" applyFont="1" applyFill="1" applyBorder="1" applyAlignment="1">
      <alignment horizontal="center"/>
    </xf>
    <xf numFmtId="43" fontId="9" fillId="0" borderId="39" xfId="2" applyNumberFormat="1" applyFont="1" applyBorder="1" applyAlignment="1"/>
    <xf numFmtId="4" fontId="0" fillId="0" borderId="0" xfId="0" applyNumberFormat="1"/>
    <xf numFmtId="14" fontId="26" fillId="0" borderId="4" xfId="0" applyNumberFormat="1" applyFont="1" applyBorder="1"/>
    <xf numFmtId="43" fontId="17" fillId="0" borderId="4" xfId="2" applyNumberFormat="1" applyFont="1" applyBorder="1" applyAlignment="1">
      <alignment vertical="center"/>
    </xf>
    <xf numFmtId="0" fontId="28" fillId="7" borderId="30" xfId="0" applyFont="1" applyFill="1" applyBorder="1" applyAlignment="1">
      <alignment horizontal="center"/>
    </xf>
    <xf numFmtId="14" fontId="5" fillId="4" borderId="42" xfId="0" applyNumberFormat="1" applyFont="1" applyFill="1" applyBorder="1" applyAlignment="1">
      <alignment horizontal="center"/>
    </xf>
    <xf numFmtId="0" fontId="12" fillId="4" borderId="42" xfId="0" applyFont="1" applyFill="1" applyBorder="1" applyAlignment="1">
      <alignment horizontal="center"/>
    </xf>
    <xf numFmtId="43" fontId="23" fillId="0" borderId="39" xfId="0" applyNumberFormat="1" applyFont="1" applyBorder="1"/>
    <xf numFmtId="14" fontId="5" fillId="7" borderId="0" xfId="0" applyNumberFormat="1" applyFont="1" applyFill="1" applyAlignment="1">
      <alignment horizontal="center"/>
    </xf>
    <xf numFmtId="14" fontId="9" fillId="0" borderId="2" xfId="0" applyNumberFormat="1" applyFont="1" applyBorder="1" applyAlignment="1">
      <alignment horizontal="center"/>
    </xf>
    <xf numFmtId="0" fontId="20" fillId="0" borderId="2" xfId="0" applyFont="1" applyBorder="1" applyAlignment="1">
      <alignment horizontal="center"/>
    </xf>
    <xf numFmtId="43" fontId="9" fillId="0" borderId="2" xfId="1" applyFont="1" applyFill="1" applyBorder="1" applyAlignment="1"/>
    <xf numFmtId="14" fontId="5" fillId="7" borderId="30" xfId="0" applyNumberFormat="1" applyFont="1" applyFill="1" applyBorder="1" applyAlignment="1">
      <alignment horizontal="center"/>
    </xf>
    <xf numFmtId="0" fontId="12" fillId="7" borderId="30" xfId="0" applyFont="1" applyFill="1" applyBorder="1" applyAlignment="1">
      <alignment horizontal="center"/>
    </xf>
    <xf numFmtId="0" fontId="3" fillId="0" borderId="30" xfId="0" applyFont="1" applyBorder="1"/>
    <xf numFmtId="0" fontId="4" fillId="0" borderId="30" xfId="0" applyFont="1" applyBorder="1"/>
    <xf numFmtId="43" fontId="9" fillId="0" borderId="42" xfId="2" applyNumberFormat="1" applyFont="1" applyBorder="1" applyAlignment="1"/>
    <xf numFmtId="0" fontId="12" fillId="4" borderId="28" xfId="0" applyFont="1" applyFill="1" applyBorder="1" applyAlignment="1">
      <alignment horizontal="center"/>
    </xf>
    <xf numFmtId="0" fontId="26" fillId="0" borderId="4" xfId="0" applyFont="1" applyBorder="1" applyAlignment="1">
      <alignment horizontal="center"/>
    </xf>
    <xf numFmtId="43" fontId="26" fillId="0" borderId="4" xfId="1" applyFont="1" applyBorder="1" applyAlignment="1">
      <alignment vertical="center"/>
    </xf>
    <xf numFmtId="0" fontId="15" fillId="6" borderId="36" xfId="0" applyFont="1" applyFill="1" applyBorder="1" applyAlignment="1">
      <alignment horizontal="center" vertical="center"/>
    </xf>
    <xf numFmtId="0" fontId="15" fillId="6" borderId="37" xfId="0" applyFont="1" applyFill="1" applyBorder="1" applyAlignment="1">
      <alignment horizontal="center" vertical="center"/>
    </xf>
    <xf numFmtId="0" fontId="10" fillId="3" borderId="6" xfId="0" applyFont="1" applyFill="1" applyBorder="1" applyAlignment="1">
      <alignment horizontal="center"/>
    </xf>
    <xf numFmtId="0" fontId="10" fillId="3" borderId="7" xfId="0" applyFont="1" applyFill="1" applyBorder="1" applyAlignment="1">
      <alignment horizontal="center"/>
    </xf>
    <xf numFmtId="165" fontId="15" fillId="6" borderId="19" xfId="2" applyNumberFormat="1" applyFont="1" applyFill="1" applyBorder="1" applyAlignment="1">
      <alignment horizontal="center" vertical="center"/>
    </xf>
    <xf numFmtId="165" fontId="15" fillId="6" borderId="20" xfId="2" applyNumberFormat="1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43" fontId="7" fillId="0" borderId="3" xfId="1" applyFont="1" applyBorder="1" applyAlignment="1">
      <alignment horizontal="center" vertical="center"/>
    </xf>
    <xf numFmtId="43" fontId="7" fillId="0" borderId="4" xfId="1" applyFont="1" applyBorder="1" applyAlignment="1">
      <alignment horizontal="center" vertical="center"/>
    </xf>
    <xf numFmtId="0" fontId="25" fillId="0" borderId="0" xfId="0" applyFont="1" applyAlignment="1">
      <alignment horizontal="center"/>
    </xf>
    <xf numFmtId="0" fontId="13" fillId="5" borderId="13" xfId="0" applyFont="1" applyFill="1" applyBorder="1" applyAlignment="1">
      <alignment horizontal="center" vertical="center"/>
    </xf>
    <xf numFmtId="0" fontId="13" fillId="5" borderId="14" xfId="0" applyFont="1" applyFill="1" applyBorder="1" applyAlignment="1">
      <alignment horizontal="center" vertical="center"/>
    </xf>
    <xf numFmtId="0" fontId="13" fillId="5" borderId="16" xfId="0" applyFont="1" applyFill="1" applyBorder="1" applyAlignment="1">
      <alignment horizontal="center" vertical="center"/>
    </xf>
    <xf numFmtId="0" fontId="13" fillId="5" borderId="17" xfId="0" applyFont="1" applyFill="1" applyBorder="1" applyAlignment="1">
      <alignment horizontal="center" vertical="center"/>
    </xf>
    <xf numFmtId="0" fontId="15" fillId="6" borderId="19" xfId="0" applyFont="1" applyFill="1" applyBorder="1" applyAlignment="1">
      <alignment horizontal="center" vertical="center"/>
    </xf>
    <xf numFmtId="0" fontId="15" fillId="6" borderId="20" xfId="0" applyFont="1" applyFill="1" applyBorder="1" applyAlignment="1">
      <alignment horizontal="center" vertical="center"/>
    </xf>
    <xf numFmtId="43" fontId="15" fillId="6" borderId="19" xfId="2" applyNumberFormat="1" applyFont="1" applyFill="1" applyBorder="1" applyAlignment="1">
      <alignment horizontal="center" vertical="center"/>
    </xf>
    <xf numFmtId="43" fontId="15" fillId="6" borderId="20" xfId="2" applyNumberFormat="1" applyFont="1" applyFill="1" applyBorder="1" applyAlignment="1">
      <alignment horizontal="center" vertical="center"/>
    </xf>
    <xf numFmtId="43" fontId="15" fillId="6" borderId="36" xfId="0" applyNumberFormat="1" applyFont="1" applyFill="1" applyBorder="1" applyAlignment="1">
      <alignment horizontal="center" vertical="center"/>
    </xf>
    <xf numFmtId="43" fontId="15" fillId="6" borderId="37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7" fillId="0" borderId="38" xfId="0" applyFont="1" applyBorder="1" applyAlignment="1">
      <alignment horizontal="center" vertical="center"/>
    </xf>
    <xf numFmtId="0" fontId="8" fillId="0" borderId="38" xfId="0" applyFont="1" applyBorder="1" applyAlignment="1">
      <alignment horizontal="center" vertical="center"/>
    </xf>
    <xf numFmtId="43" fontId="7" fillId="0" borderId="38" xfId="1" applyFont="1" applyBorder="1" applyAlignment="1">
      <alignment horizontal="center" vertical="center"/>
    </xf>
  </cellXfs>
  <cellStyles count="4">
    <cellStyle name="Moeda" xfId="2" builtinId="4"/>
    <cellStyle name="Normal" xfId="0" builtinId="0"/>
    <cellStyle name="Normal 2" xfId="3" xr:uid="{B89BD455-0021-4EC2-804A-6CFFB996134D}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72150-6188-495F-B927-2AF6FF0AD4E8}">
  <dimension ref="A1:H518"/>
  <sheetViews>
    <sheetView tabSelected="1" zoomScale="120" zoomScaleNormal="120" workbookViewId="0">
      <selection activeCell="E211" sqref="E211"/>
    </sheetView>
  </sheetViews>
  <sheetFormatPr defaultRowHeight="14.4" x14ac:dyDescent="0.3"/>
  <cols>
    <col min="1" max="1" width="18.44140625" style="2" customWidth="1"/>
    <col min="2" max="2" width="56.88671875" style="3" customWidth="1"/>
    <col min="3" max="3" width="28.5546875" style="34" customWidth="1"/>
    <col min="4" max="4" width="22.44140625" style="4" bestFit="1" customWidth="1"/>
    <col min="5" max="5" width="19.44140625" style="5" bestFit="1" customWidth="1"/>
    <col min="6" max="6" width="39.6640625" style="6" customWidth="1"/>
    <col min="7" max="7" width="19.5546875" customWidth="1"/>
    <col min="8" max="8" width="14.5546875" customWidth="1"/>
    <col min="9" max="9" width="13.5546875" customWidth="1"/>
    <col min="10" max="10" width="31.6640625" customWidth="1"/>
    <col min="11" max="11" width="11.88671875" customWidth="1"/>
    <col min="13" max="13" width="12" customWidth="1"/>
    <col min="14" max="14" width="31.33203125" customWidth="1"/>
    <col min="15" max="15" width="12.6640625" customWidth="1"/>
  </cols>
  <sheetData>
    <row r="1" spans="1:6" ht="23.25" customHeight="1" thickBot="1" x14ac:dyDescent="0.55000000000000004">
      <c r="A1" s="1"/>
      <c r="B1" s="1"/>
      <c r="C1" s="75"/>
      <c r="D1" s="1"/>
      <c r="E1" s="1"/>
      <c r="F1" s="1"/>
    </row>
    <row r="2" spans="1:6" ht="17.399999999999999" x14ac:dyDescent="0.3">
      <c r="B2" s="7" t="s">
        <v>0</v>
      </c>
    </row>
    <row r="3" spans="1:6" x14ac:dyDescent="0.3">
      <c r="A3" s="120" t="s">
        <v>1</v>
      </c>
      <c r="B3" s="122" t="s">
        <v>2</v>
      </c>
      <c r="C3" s="124" t="s">
        <v>3</v>
      </c>
      <c r="D3"/>
      <c r="E3"/>
      <c r="F3"/>
    </row>
    <row r="4" spans="1:6" x14ac:dyDescent="0.3">
      <c r="A4" s="121"/>
      <c r="B4" s="123"/>
      <c r="C4" s="125"/>
      <c r="D4"/>
      <c r="E4"/>
      <c r="F4"/>
    </row>
    <row r="5" spans="1:6" x14ac:dyDescent="0.3">
      <c r="A5" s="8">
        <v>46146</v>
      </c>
      <c r="B5" s="9" t="s">
        <v>131</v>
      </c>
      <c r="C5" s="62"/>
      <c r="D5" s="10"/>
      <c r="E5"/>
      <c r="F5"/>
    </row>
    <row r="6" spans="1:6" x14ac:dyDescent="0.3">
      <c r="A6" s="8">
        <v>46146</v>
      </c>
      <c r="B6" s="9" t="s">
        <v>94</v>
      </c>
      <c r="C6" s="62"/>
      <c r="D6" s="10"/>
      <c r="E6"/>
      <c r="F6"/>
    </row>
    <row r="7" spans="1:6" x14ac:dyDescent="0.3">
      <c r="A7" s="8">
        <v>46146</v>
      </c>
      <c r="B7" s="9" t="s">
        <v>46</v>
      </c>
      <c r="C7" s="62"/>
      <c r="D7" s="10"/>
      <c r="E7"/>
      <c r="F7"/>
    </row>
    <row r="8" spans="1:6" x14ac:dyDescent="0.3">
      <c r="A8" s="8">
        <v>46146</v>
      </c>
      <c r="B8" s="9" t="s">
        <v>22</v>
      </c>
      <c r="C8" s="62"/>
      <c r="D8" s="10"/>
      <c r="E8"/>
      <c r="F8"/>
    </row>
    <row r="9" spans="1:6" x14ac:dyDescent="0.3">
      <c r="A9" s="56">
        <v>46147</v>
      </c>
      <c r="B9" s="9" t="s">
        <v>8</v>
      </c>
      <c r="C9" s="62"/>
      <c r="D9" s="10"/>
      <c r="E9"/>
      <c r="F9"/>
    </row>
    <row r="10" spans="1:6" x14ac:dyDescent="0.3">
      <c r="A10" s="8">
        <v>46148</v>
      </c>
      <c r="B10" s="69" t="s">
        <v>9</v>
      </c>
      <c r="C10" s="62"/>
      <c r="D10" s="66"/>
      <c r="E10"/>
      <c r="F10"/>
    </row>
    <row r="11" spans="1:6" x14ac:dyDescent="0.3">
      <c r="A11" s="8">
        <v>46148</v>
      </c>
      <c r="B11" s="9" t="s">
        <v>10</v>
      </c>
      <c r="C11" s="62"/>
      <c r="D11" s="10"/>
      <c r="E11"/>
    </row>
    <row r="12" spans="1:6" x14ac:dyDescent="0.3">
      <c r="A12" s="8">
        <v>46148</v>
      </c>
      <c r="B12" s="9" t="s">
        <v>11</v>
      </c>
      <c r="C12" s="62"/>
      <c r="D12" s="10"/>
      <c r="E12"/>
      <c r="F12"/>
    </row>
    <row r="13" spans="1:6" x14ac:dyDescent="0.3">
      <c r="A13" s="8">
        <v>46148</v>
      </c>
      <c r="B13" s="9" t="s">
        <v>12</v>
      </c>
      <c r="C13" s="62"/>
      <c r="D13" s="10"/>
      <c r="E13"/>
      <c r="F13"/>
    </row>
    <row r="14" spans="1:6" x14ac:dyDescent="0.3">
      <c r="A14" s="8">
        <v>46148</v>
      </c>
      <c r="B14" s="9" t="s">
        <v>13</v>
      </c>
      <c r="C14" s="62"/>
      <c r="D14" s="10"/>
      <c r="E14"/>
      <c r="F14"/>
    </row>
    <row r="15" spans="1:6" x14ac:dyDescent="0.3">
      <c r="A15" s="8">
        <v>46148</v>
      </c>
      <c r="B15" s="9" t="s">
        <v>14</v>
      </c>
      <c r="C15" s="62"/>
      <c r="D15" s="10"/>
      <c r="E15"/>
      <c r="F15"/>
    </row>
    <row r="16" spans="1:6" x14ac:dyDescent="0.3">
      <c r="A16" s="8">
        <v>46148</v>
      </c>
      <c r="B16" s="9" t="s">
        <v>15</v>
      </c>
      <c r="C16" s="62"/>
      <c r="D16" s="10"/>
      <c r="E16"/>
      <c r="F16"/>
    </row>
    <row r="17" spans="1:6" x14ac:dyDescent="0.3">
      <c r="A17" s="8">
        <v>46148</v>
      </c>
      <c r="B17" s="9" t="s">
        <v>16</v>
      </c>
      <c r="C17" s="62"/>
      <c r="D17" s="10"/>
      <c r="E17"/>
      <c r="F17"/>
    </row>
    <row r="18" spans="1:6" x14ac:dyDescent="0.3">
      <c r="A18" s="8">
        <v>46148</v>
      </c>
      <c r="B18" s="69" t="s">
        <v>17</v>
      </c>
      <c r="C18" s="62"/>
      <c r="D18" s="66"/>
      <c r="E18"/>
      <c r="F18"/>
    </row>
    <row r="19" spans="1:6" x14ac:dyDescent="0.3">
      <c r="A19" s="8">
        <v>46148</v>
      </c>
      <c r="B19" s="9" t="s">
        <v>18</v>
      </c>
      <c r="C19" s="62"/>
      <c r="D19" s="10"/>
      <c r="E19"/>
      <c r="F19"/>
    </row>
    <row r="20" spans="1:6" x14ac:dyDescent="0.3">
      <c r="A20" s="8">
        <v>46148</v>
      </c>
      <c r="B20" s="9" t="s">
        <v>19</v>
      </c>
      <c r="C20" s="62"/>
      <c r="D20" s="10"/>
      <c r="E20"/>
      <c r="F20"/>
    </row>
    <row r="21" spans="1:6" x14ac:dyDescent="0.3">
      <c r="A21" s="8">
        <v>46148</v>
      </c>
      <c r="B21" s="9" t="s">
        <v>20</v>
      </c>
      <c r="C21" s="62"/>
      <c r="D21" s="10"/>
      <c r="E21"/>
      <c r="F21"/>
    </row>
    <row r="22" spans="1:6" x14ac:dyDescent="0.3">
      <c r="A22" s="8">
        <v>46148</v>
      </c>
      <c r="B22" s="9" t="s">
        <v>101</v>
      </c>
      <c r="C22" s="62"/>
      <c r="D22" s="10"/>
      <c r="E22"/>
      <c r="F22"/>
    </row>
    <row r="23" spans="1:6" x14ac:dyDescent="0.3">
      <c r="A23" s="8">
        <v>46149</v>
      </c>
      <c r="B23" s="9" t="s">
        <v>132</v>
      </c>
      <c r="C23" s="62"/>
      <c r="D23" s="10"/>
      <c r="E23"/>
      <c r="F23"/>
    </row>
    <row r="24" spans="1:6" x14ac:dyDescent="0.3">
      <c r="A24" s="8">
        <v>46153</v>
      </c>
      <c r="B24" s="9" t="s">
        <v>132</v>
      </c>
      <c r="C24" s="62"/>
      <c r="D24" s="10"/>
      <c r="E24"/>
      <c r="F24"/>
    </row>
    <row r="25" spans="1:6" x14ac:dyDescent="0.3">
      <c r="A25" s="8">
        <v>46153</v>
      </c>
      <c r="B25" s="9" t="s">
        <v>86</v>
      </c>
      <c r="C25" s="62"/>
      <c r="D25" s="10"/>
      <c r="E25"/>
      <c r="F25"/>
    </row>
    <row r="26" spans="1:6" x14ac:dyDescent="0.3">
      <c r="A26" s="61">
        <v>46153</v>
      </c>
      <c r="B26" s="60" t="s">
        <v>133</v>
      </c>
      <c r="C26" s="72"/>
      <c r="D26" s="10"/>
      <c r="E26"/>
    </row>
    <row r="27" spans="1:6" x14ac:dyDescent="0.3">
      <c r="A27" s="8">
        <v>46153</v>
      </c>
      <c r="B27" s="9" t="s">
        <v>134</v>
      </c>
      <c r="C27" s="62"/>
      <c r="D27" s="10"/>
      <c r="E27"/>
      <c r="F27"/>
    </row>
    <row r="28" spans="1:6" x14ac:dyDescent="0.3">
      <c r="A28" s="8">
        <v>46153</v>
      </c>
      <c r="B28" s="9" t="s">
        <v>87</v>
      </c>
      <c r="C28" s="62"/>
      <c r="D28" s="10"/>
      <c r="E28"/>
      <c r="F28"/>
    </row>
    <row r="29" spans="1:6" x14ac:dyDescent="0.3">
      <c r="A29" s="8">
        <v>46153</v>
      </c>
      <c r="B29" s="9" t="s">
        <v>84</v>
      </c>
      <c r="C29" s="62"/>
      <c r="D29" s="10"/>
      <c r="E29"/>
      <c r="F29"/>
    </row>
    <row r="30" spans="1:6" x14ac:dyDescent="0.3">
      <c r="A30" s="8">
        <v>46153</v>
      </c>
      <c r="B30" s="9" t="s">
        <v>95</v>
      </c>
      <c r="C30" s="62"/>
      <c r="D30" s="10"/>
      <c r="E30"/>
      <c r="F30"/>
    </row>
    <row r="31" spans="1:6" x14ac:dyDescent="0.3">
      <c r="A31" s="8">
        <v>46153</v>
      </c>
      <c r="B31" s="9" t="s">
        <v>83</v>
      </c>
      <c r="C31" s="62"/>
      <c r="D31" s="10"/>
      <c r="E31"/>
      <c r="F31"/>
    </row>
    <row r="32" spans="1:6" x14ac:dyDescent="0.3">
      <c r="A32" s="8">
        <v>46157</v>
      </c>
      <c r="B32" s="9" t="s">
        <v>135</v>
      </c>
      <c r="C32" s="62"/>
      <c r="D32" s="10"/>
      <c r="E32" s="38"/>
      <c r="F32"/>
    </row>
    <row r="33" spans="1:5" x14ac:dyDescent="0.3">
      <c r="A33" s="8">
        <v>46157</v>
      </c>
      <c r="B33" s="9" t="s">
        <v>136</v>
      </c>
      <c r="C33" s="62"/>
      <c r="D33" s="10"/>
      <c r="E33" s="33"/>
    </row>
    <row r="34" spans="1:5" x14ac:dyDescent="0.3">
      <c r="A34" s="8">
        <v>46160</v>
      </c>
      <c r="B34" s="9" t="s">
        <v>23</v>
      </c>
      <c r="C34" s="62"/>
      <c r="D34" s="10"/>
      <c r="E34" s="33"/>
    </row>
    <row r="35" spans="1:5" x14ac:dyDescent="0.3">
      <c r="A35" s="8">
        <v>46160</v>
      </c>
      <c r="B35" s="9" t="s">
        <v>24</v>
      </c>
      <c r="C35" s="62"/>
      <c r="D35" s="10"/>
      <c r="E35" s="33"/>
    </row>
    <row r="36" spans="1:5" x14ac:dyDescent="0.3">
      <c r="A36" s="8">
        <v>46160</v>
      </c>
      <c r="B36" s="9" t="s">
        <v>25</v>
      </c>
      <c r="C36" s="62"/>
      <c r="D36" s="10"/>
      <c r="E36" s="33"/>
    </row>
    <row r="37" spans="1:5" x14ac:dyDescent="0.3">
      <c r="A37" s="8">
        <v>46160</v>
      </c>
      <c r="B37" s="9" t="s">
        <v>137</v>
      </c>
      <c r="C37" s="62"/>
      <c r="D37" s="10"/>
      <c r="E37" s="33"/>
    </row>
    <row r="38" spans="1:5" x14ac:dyDescent="0.3">
      <c r="A38" s="8">
        <v>46162</v>
      </c>
      <c r="B38" s="9" t="s">
        <v>30</v>
      </c>
      <c r="C38" s="62"/>
      <c r="D38" s="10"/>
      <c r="E38" s="53"/>
    </row>
    <row r="39" spans="1:5" x14ac:dyDescent="0.3">
      <c r="A39" s="8">
        <v>46162</v>
      </c>
      <c r="B39" s="9" t="s">
        <v>34</v>
      </c>
      <c r="C39" s="62"/>
      <c r="D39" s="10"/>
      <c r="E39" s="53"/>
    </row>
    <row r="40" spans="1:5" x14ac:dyDescent="0.3">
      <c r="A40" s="8">
        <v>46162</v>
      </c>
      <c r="B40" s="9" t="s">
        <v>29</v>
      </c>
      <c r="C40" s="62"/>
      <c r="D40" s="10"/>
      <c r="E40" s="53"/>
    </row>
    <row r="41" spans="1:5" x14ac:dyDescent="0.3">
      <c r="A41" s="8">
        <v>46162</v>
      </c>
      <c r="B41" s="9" t="s">
        <v>116</v>
      </c>
      <c r="C41" s="62"/>
      <c r="D41" s="10"/>
      <c r="E41"/>
    </row>
    <row r="42" spans="1:5" x14ac:dyDescent="0.3">
      <c r="A42" s="8">
        <v>46162</v>
      </c>
      <c r="B42" s="9" t="s">
        <v>28</v>
      </c>
      <c r="C42" s="62"/>
      <c r="D42" s="10"/>
      <c r="E42" s="53"/>
    </row>
    <row r="43" spans="1:5" x14ac:dyDescent="0.3">
      <c r="A43" s="8">
        <v>46162</v>
      </c>
      <c r="B43" s="9" t="s">
        <v>27</v>
      </c>
      <c r="C43" s="62"/>
      <c r="D43" s="10"/>
      <c r="E43" s="53"/>
    </row>
    <row r="44" spans="1:5" x14ac:dyDescent="0.3">
      <c r="A44" s="8">
        <v>46162</v>
      </c>
      <c r="B44" s="9" t="s">
        <v>26</v>
      </c>
      <c r="C44" s="62"/>
      <c r="D44" s="10"/>
      <c r="E44" s="53"/>
    </row>
    <row r="45" spans="1:5" x14ac:dyDescent="0.3">
      <c r="A45" s="8">
        <v>46162</v>
      </c>
      <c r="B45" s="9" t="s">
        <v>31</v>
      </c>
      <c r="C45" s="62"/>
      <c r="D45" s="10"/>
      <c r="E45" s="53"/>
    </row>
    <row r="46" spans="1:5" x14ac:dyDescent="0.3">
      <c r="A46" s="8">
        <v>46167</v>
      </c>
      <c r="B46" s="9" t="s">
        <v>37</v>
      </c>
      <c r="C46" s="62"/>
      <c r="D46" s="10"/>
      <c r="E46"/>
    </row>
    <row r="47" spans="1:5" ht="14.25" customHeight="1" x14ac:dyDescent="0.3">
      <c r="A47" s="8">
        <v>46167</v>
      </c>
      <c r="B47" s="9" t="s">
        <v>36</v>
      </c>
      <c r="C47" s="62"/>
      <c r="D47" s="10"/>
      <c r="E47"/>
    </row>
    <row r="48" spans="1:5" x14ac:dyDescent="0.3">
      <c r="A48" s="8">
        <v>46167</v>
      </c>
      <c r="B48" s="9" t="s">
        <v>39</v>
      </c>
      <c r="C48" s="62"/>
      <c r="D48" s="10"/>
      <c r="E48"/>
    </row>
    <row r="49" spans="1:6" x14ac:dyDescent="0.3">
      <c r="A49" s="8">
        <v>46167</v>
      </c>
      <c r="B49" s="9" t="s">
        <v>35</v>
      </c>
      <c r="C49" s="62"/>
      <c r="D49" s="10"/>
      <c r="E49"/>
    </row>
    <row r="50" spans="1:6" x14ac:dyDescent="0.3">
      <c r="A50" s="8">
        <v>46167</v>
      </c>
      <c r="B50" s="9" t="s">
        <v>138</v>
      </c>
      <c r="C50" s="62"/>
      <c r="D50" s="10"/>
      <c r="E50"/>
      <c r="F50"/>
    </row>
    <row r="51" spans="1:6" x14ac:dyDescent="0.3">
      <c r="A51" s="8">
        <v>46167</v>
      </c>
      <c r="B51" s="9" t="s">
        <v>38</v>
      </c>
      <c r="C51" s="62"/>
      <c r="D51" s="10"/>
      <c r="E51" s="38"/>
      <c r="F51"/>
    </row>
    <row r="52" spans="1:6" x14ac:dyDescent="0.3">
      <c r="A52" s="8">
        <v>46082</v>
      </c>
      <c r="B52" s="9" t="s">
        <v>99</v>
      </c>
      <c r="C52" s="62"/>
      <c r="D52" s="10"/>
      <c r="E52" s="38"/>
    </row>
    <row r="53" spans="1:6" x14ac:dyDescent="0.3">
      <c r="E53"/>
      <c r="F53"/>
    </row>
    <row r="54" spans="1:6" x14ac:dyDescent="0.3">
      <c r="B54"/>
      <c r="C54" s="76">
        <f>SUM(C5:C53)</f>
        <v>0</v>
      </c>
      <c r="D54" s="4">
        <f>SUM(D3:D53)</f>
        <v>0</v>
      </c>
      <c r="E54"/>
      <c r="F54"/>
    </row>
    <row r="55" spans="1:6" x14ac:dyDescent="0.3">
      <c r="E55"/>
    </row>
    <row r="56" spans="1:6" x14ac:dyDescent="0.3">
      <c r="A56" s="116" t="s">
        <v>41</v>
      </c>
      <c r="B56" s="117"/>
      <c r="C56" s="77" t="s">
        <v>42</v>
      </c>
      <c r="D56" s="13"/>
      <c r="E56"/>
    </row>
    <row r="57" spans="1:6" ht="15" thickBot="1" x14ac:dyDescent="0.35">
      <c r="A57" s="14" t="s">
        <v>43</v>
      </c>
      <c r="B57" s="15" t="s">
        <v>44</v>
      </c>
      <c r="C57" s="78"/>
      <c r="D57" s="13"/>
      <c r="E57"/>
    </row>
    <row r="58" spans="1:6" ht="18" thickBot="1" x14ac:dyDescent="0.35">
      <c r="B58" s="7" t="s">
        <v>45</v>
      </c>
      <c r="C58" s="74"/>
      <c r="D58"/>
      <c r="E58"/>
    </row>
    <row r="59" spans="1:6" x14ac:dyDescent="0.3">
      <c r="A59" s="16">
        <v>46149</v>
      </c>
      <c r="B59" s="40" t="s">
        <v>139</v>
      </c>
      <c r="C59" s="72"/>
      <c r="D59" s="18"/>
      <c r="E59"/>
    </row>
    <row r="60" spans="1:6" x14ac:dyDescent="0.3">
      <c r="A60" s="16">
        <v>46155</v>
      </c>
      <c r="B60" s="17" t="s">
        <v>140</v>
      </c>
      <c r="C60" s="73"/>
      <c r="D60" s="18"/>
      <c r="E60"/>
    </row>
    <row r="61" spans="1:6" x14ac:dyDescent="0.3">
      <c r="A61" s="16">
        <v>46155</v>
      </c>
      <c r="B61" s="17" t="s">
        <v>141</v>
      </c>
      <c r="C61" s="73"/>
      <c r="D61" s="18"/>
      <c r="E61"/>
    </row>
    <row r="62" spans="1:6" x14ac:dyDescent="0.3">
      <c r="A62" s="16">
        <v>46153</v>
      </c>
      <c r="B62" s="17" t="s">
        <v>142</v>
      </c>
      <c r="C62" s="73"/>
      <c r="D62" s="18"/>
      <c r="E62"/>
    </row>
    <row r="63" spans="1:6" x14ac:dyDescent="0.3">
      <c r="A63" s="68">
        <v>46153</v>
      </c>
      <c r="B63" s="17" t="s">
        <v>143</v>
      </c>
      <c r="C63" s="73"/>
      <c r="D63" s="10"/>
      <c r="E63"/>
    </row>
    <row r="64" spans="1:6" x14ac:dyDescent="0.3">
      <c r="A64" s="16">
        <v>46153</v>
      </c>
      <c r="B64" s="40" t="s">
        <v>144</v>
      </c>
      <c r="C64" s="72"/>
      <c r="D64" s="18"/>
    </row>
    <row r="65" spans="1:5" x14ac:dyDescent="0.3">
      <c r="A65" s="16">
        <v>46153</v>
      </c>
      <c r="B65" s="17" t="s">
        <v>145</v>
      </c>
      <c r="C65" s="73"/>
      <c r="D65" s="18"/>
      <c r="E65"/>
    </row>
    <row r="66" spans="1:5" x14ac:dyDescent="0.3">
      <c r="A66" s="16">
        <v>46153</v>
      </c>
      <c r="B66" s="17" t="s">
        <v>93</v>
      </c>
      <c r="C66" s="73"/>
      <c r="D66" s="18"/>
      <c r="E66"/>
    </row>
    <row r="67" spans="1:5" x14ac:dyDescent="0.3">
      <c r="A67" s="16">
        <v>46153</v>
      </c>
      <c r="B67" s="17" t="s">
        <v>96</v>
      </c>
      <c r="C67" s="73"/>
      <c r="D67" s="18"/>
      <c r="E67"/>
    </row>
    <row r="68" spans="1:5" x14ac:dyDescent="0.3">
      <c r="A68" s="16">
        <v>46153</v>
      </c>
      <c r="B68" s="17" t="s">
        <v>104</v>
      </c>
      <c r="C68" s="73"/>
      <c r="D68" s="18"/>
      <c r="E68"/>
    </row>
    <row r="69" spans="1:5" x14ac:dyDescent="0.3">
      <c r="A69" s="16">
        <v>46153</v>
      </c>
      <c r="B69" s="17" t="s">
        <v>146</v>
      </c>
      <c r="C69" s="73"/>
      <c r="D69" s="18"/>
      <c r="E69"/>
    </row>
    <row r="70" spans="1:5" x14ac:dyDescent="0.3">
      <c r="A70" s="68">
        <v>46156</v>
      </c>
      <c r="B70" s="54" t="s">
        <v>139</v>
      </c>
      <c r="C70" s="73"/>
      <c r="D70" s="10"/>
      <c r="E70"/>
    </row>
    <row r="71" spans="1:5" x14ac:dyDescent="0.3">
      <c r="A71" s="68">
        <v>46157</v>
      </c>
      <c r="B71" s="54" t="s">
        <v>147</v>
      </c>
      <c r="C71" s="73"/>
      <c r="D71" s="10"/>
      <c r="E71"/>
    </row>
    <row r="72" spans="1:5" x14ac:dyDescent="0.3">
      <c r="A72" s="68">
        <v>46157</v>
      </c>
      <c r="B72" s="54" t="s">
        <v>148</v>
      </c>
      <c r="C72" s="73"/>
      <c r="D72" s="10"/>
      <c r="E72"/>
    </row>
    <row r="73" spans="1:5" x14ac:dyDescent="0.3">
      <c r="A73" s="68">
        <v>46157</v>
      </c>
      <c r="B73" s="54" t="s">
        <v>149</v>
      </c>
      <c r="C73" s="73"/>
      <c r="D73" s="10"/>
      <c r="E73"/>
    </row>
    <row r="74" spans="1:5" x14ac:dyDescent="0.3">
      <c r="A74" s="16">
        <v>46160</v>
      </c>
      <c r="B74" s="40" t="s">
        <v>150</v>
      </c>
      <c r="C74" s="72"/>
      <c r="D74" s="18"/>
      <c r="E74"/>
    </row>
    <row r="75" spans="1:5" x14ac:dyDescent="0.3">
      <c r="A75" s="16">
        <v>46160</v>
      </c>
      <c r="B75" s="17" t="s">
        <v>151</v>
      </c>
      <c r="C75" s="73"/>
      <c r="D75" s="18"/>
      <c r="E75"/>
    </row>
    <row r="76" spans="1:5" x14ac:dyDescent="0.3">
      <c r="A76" s="16">
        <v>46160</v>
      </c>
      <c r="B76" s="17" t="s">
        <v>152</v>
      </c>
      <c r="C76" s="73"/>
      <c r="D76" s="18"/>
    </row>
    <row r="77" spans="1:5" x14ac:dyDescent="0.3">
      <c r="A77" s="16">
        <v>46160</v>
      </c>
      <c r="B77" s="17" t="s">
        <v>153</v>
      </c>
      <c r="C77" s="73"/>
      <c r="D77" s="18"/>
    </row>
    <row r="78" spans="1:5" x14ac:dyDescent="0.3">
      <c r="A78" s="16">
        <v>46160</v>
      </c>
      <c r="B78" s="17" t="s">
        <v>154</v>
      </c>
      <c r="C78" s="73"/>
      <c r="D78" s="18"/>
    </row>
    <row r="79" spans="1:5" x14ac:dyDescent="0.3">
      <c r="A79" s="16">
        <v>46160</v>
      </c>
      <c r="B79" s="17" t="s">
        <v>155</v>
      </c>
      <c r="C79" s="73"/>
      <c r="D79" s="18"/>
    </row>
    <row r="80" spans="1:5" x14ac:dyDescent="0.3">
      <c r="A80" s="16">
        <v>46160</v>
      </c>
      <c r="B80" s="17" t="s">
        <v>156</v>
      </c>
      <c r="C80" s="73"/>
      <c r="D80" s="18"/>
    </row>
    <row r="81" spans="1:4" x14ac:dyDescent="0.3">
      <c r="A81" s="16">
        <v>46160</v>
      </c>
      <c r="B81" s="17" t="s">
        <v>157</v>
      </c>
      <c r="C81" s="73"/>
      <c r="D81" s="18"/>
    </row>
    <row r="82" spans="1:4" x14ac:dyDescent="0.3">
      <c r="A82" s="16">
        <v>46160</v>
      </c>
      <c r="B82" s="17" t="s">
        <v>158</v>
      </c>
      <c r="C82" s="73"/>
      <c r="D82" s="18"/>
    </row>
    <row r="83" spans="1:4" x14ac:dyDescent="0.3">
      <c r="A83" s="16">
        <v>46160</v>
      </c>
      <c r="B83" s="17" t="s">
        <v>159</v>
      </c>
      <c r="C83" s="73"/>
      <c r="D83" s="18"/>
    </row>
    <row r="84" spans="1:4" x14ac:dyDescent="0.3">
      <c r="A84" s="16">
        <v>46160</v>
      </c>
      <c r="B84" s="17" t="s">
        <v>160</v>
      </c>
      <c r="C84" s="73"/>
      <c r="D84" s="18"/>
    </row>
    <row r="85" spans="1:4" x14ac:dyDescent="0.3">
      <c r="A85" s="16">
        <v>46160</v>
      </c>
      <c r="B85" s="17" t="s">
        <v>161</v>
      </c>
      <c r="C85" s="73"/>
      <c r="D85" s="18"/>
    </row>
    <row r="86" spans="1:4" x14ac:dyDescent="0.3">
      <c r="A86" s="16">
        <v>46160</v>
      </c>
      <c r="B86" s="17" t="s">
        <v>106</v>
      </c>
      <c r="C86" s="73"/>
      <c r="D86" s="18"/>
    </row>
    <row r="87" spans="1:4" x14ac:dyDescent="0.3">
      <c r="A87" s="16">
        <v>46160</v>
      </c>
      <c r="B87" s="17" t="s">
        <v>162</v>
      </c>
      <c r="C87" s="73"/>
      <c r="D87" s="18"/>
    </row>
    <row r="88" spans="1:4" x14ac:dyDescent="0.3">
      <c r="A88" s="16">
        <v>46160</v>
      </c>
      <c r="B88" s="17" t="s">
        <v>163</v>
      </c>
      <c r="C88" s="73"/>
      <c r="D88" s="18"/>
    </row>
    <row r="89" spans="1:4" x14ac:dyDescent="0.3">
      <c r="A89" s="16">
        <v>46160</v>
      </c>
      <c r="B89" s="17" t="s">
        <v>164</v>
      </c>
      <c r="C89" s="73"/>
      <c r="D89" s="18"/>
    </row>
    <row r="90" spans="1:4" x14ac:dyDescent="0.3">
      <c r="A90" s="16">
        <v>46160</v>
      </c>
      <c r="B90" s="17" t="s">
        <v>165</v>
      </c>
      <c r="C90" s="73"/>
      <c r="D90" s="18"/>
    </row>
    <row r="91" spans="1:4" x14ac:dyDescent="0.3">
      <c r="A91" s="16">
        <v>46160</v>
      </c>
      <c r="B91" s="17" t="s">
        <v>47</v>
      </c>
      <c r="C91" s="73"/>
      <c r="D91" s="18"/>
    </row>
    <row r="92" spans="1:4" x14ac:dyDescent="0.3">
      <c r="A92" s="16">
        <v>46160</v>
      </c>
      <c r="B92" s="17" t="s">
        <v>105</v>
      </c>
      <c r="C92" s="73"/>
      <c r="D92" s="18"/>
    </row>
    <row r="93" spans="1:4" x14ac:dyDescent="0.3">
      <c r="A93" s="16">
        <v>46160</v>
      </c>
      <c r="B93" s="17" t="s">
        <v>166</v>
      </c>
      <c r="C93" s="73"/>
      <c r="D93" s="18"/>
    </row>
    <row r="94" spans="1:4" x14ac:dyDescent="0.3">
      <c r="A94" s="16">
        <v>46160</v>
      </c>
      <c r="B94" s="17" t="s">
        <v>167</v>
      </c>
      <c r="C94" s="73"/>
      <c r="D94" s="18"/>
    </row>
    <row r="95" spans="1:4" x14ac:dyDescent="0.3">
      <c r="A95" s="16">
        <v>46160</v>
      </c>
      <c r="B95" s="17" t="s">
        <v>105</v>
      </c>
      <c r="C95" s="73"/>
      <c r="D95" s="18"/>
    </row>
    <row r="96" spans="1:4" x14ac:dyDescent="0.3">
      <c r="A96" s="16">
        <v>46160</v>
      </c>
      <c r="B96" s="17" t="s">
        <v>162</v>
      </c>
      <c r="C96" s="73"/>
      <c r="D96" s="18"/>
    </row>
    <row r="97" spans="1:5" x14ac:dyDescent="0.3">
      <c r="A97" s="16">
        <v>46160</v>
      </c>
      <c r="B97" s="17" t="s">
        <v>162</v>
      </c>
      <c r="C97" s="73"/>
      <c r="D97" s="18"/>
    </row>
    <row r="98" spans="1:5" x14ac:dyDescent="0.3">
      <c r="A98" s="16">
        <v>46160</v>
      </c>
      <c r="B98" s="17" t="s">
        <v>168</v>
      </c>
      <c r="C98" s="73"/>
      <c r="D98" s="18"/>
    </row>
    <row r="99" spans="1:5" x14ac:dyDescent="0.3">
      <c r="A99" s="16">
        <v>46160</v>
      </c>
      <c r="B99" s="17" t="s">
        <v>48</v>
      </c>
      <c r="C99" s="73"/>
      <c r="D99" s="18"/>
    </row>
    <row r="100" spans="1:5" x14ac:dyDescent="0.3">
      <c r="A100" s="16">
        <v>46160</v>
      </c>
      <c r="B100" s="17" t="s">
        <v>48</v>
      </c>
      <c r="C100" s="73"/>
      <c r="D100" s="18"/>
    </row>
    <row r="101" spans="1:5" x14ac:dyDescent="0.3">
      <c r="A101" s="16">
        <v>46160</v>
      </c>
      <c r="B101" s="17" t="s">
        <v>48</v>
      </c>
      <c r="C101" s="73"/>
      <c r="D101" s="18"/>
    </row>
    <row r="102" spans="1:5" x14ac:dyDescent="0.3">
      <c r="A102" s="16">
        <v>46162</v>
      </c>
      <c r="B102" s="17" t="s">
        <v>169</v>
      </c>
      <c r="C102" s="73"/>
      <c r="D102" s="18"/>
    </row>
    <row r="103" spans="1:5" x14ac:dyDescent="0.3">
      <c r="A103" s="16">
        <v>46162</v>
      </c>
      <c r="B103" s="17" t="s">
        <v>170</v>
      </c>
      <c r="C103" s="73"/>
      <c r="D103" s="18"/>
    </row>
    <row r="104" spans="1:5" x14ac:dyDescent="0.3">
      <c r="A104" s="16" t="s">
        <v>171</v>
      </c>
      <c r="B104" s="17" t="s">
        <v>172</v>
      </c>
      <c r="C104" s="73"/>
      <c r="D104" s="18"/>
    </row>
    <row r="105" spans="1:5" x14ac:dyDescent="0.3">
      <c r="A105" s="16">
        <v>46163</v>
      </c>
      <c r="B105" s="17" t="s">
        <v>173</v>
      </c>
      <c r="C105" s="73"/>
      <c r="D105" s="18"/>
    </row>
    <row r="106" spans="1:5" x14ac:dyDescent="0.3">
      <c r="A106" s="16">
        <v>46164</v>
      </c>
      <c r="B106" s="17" t="s">
        <v>174</v>
      </c>
      <c r="C106" s="73"/>
      <c r="D106" s="18"/>
    </row>
    <row r="107" spans="1:5" x14ac:dyDescent="0.3">
      <c r="A107" s="16">
        <v>46164</v>
      </c>
      <c r="B107" s="17" t="s">
        <v>175</v>
      </c>
      <c r="C107" s="89"/>
      <c r="D107" s="18"/>
    </row>
    <row r="108" spans="1:5" x14ac:dyDescent="0.3">
      <c r="A108" s="16">
        <v>46167</v>
      </c>
      <c r="B108" s="40" t="s">
        <v>176</v>
      </c>
      <c r="C108" s="94"/>
      <c r="D108" s="18"/>
      <c r="E108"/>
    </row>
    <row r="109" spans="1:5" x14ac:dyDescent="0.3">
      <c r="A109" s="16">
        <v>46167</v>
      </c>
      <c r="B109" s="40" t="s">
        <v>177</v>
      </c>
      <c r="C109" s="101"/>
      <c r="D109" s="18"/>
      <c r="E109"/>
    </row>
    <row r="110" spans="1:5" x14ac:dyDescent="0.3">
      <c r="A110" s="16">
        <v>46167</v>
      </c>
      <c r="B110" s="17" t="s">
        <v>178</v>
      </c>
      <c r="C110" s="73"/>
      <c r="D110" s="18"/>
      <c r="E110"/>
    </row>
    <row r="111" spans="1:5" x14ac:dyDescent="0.3">
      <c r="A111" s="16">
        <v>46167</v>
      </c>
      <c r="B111" s="17" t="s">
        <v>107</v>
      </c>
      <c r="C111" s="73"/>
      <c r="D111" s="18"/>
      <c r="E111"/>
    </row>
    <row r="112" spans="1:5" x14ac:dyDescent="0.3">
      <c r="A112" s="16">
        <v>46167</v>
      </c>
      <c r="B112" s="17" t="s">
        <v>79</v>
      </c>
      <c r="C112" s="73"/>
      <c r="D112" s="18"/>
      <c r="E112"/>
    </row>
    <row r="113" spans="1:5" x14ac:dyDescent="0.3">
      <c r="A113" s="16">
        <v>46167</v>
      </c>
      <c r="B113" s="17" t="s">
        <v>179</v>
      </c>
      <c r="C113" s="73"/>
      <c r="D113" s="18"/>
      <c r="E113"/>
    </row>
    <row r="114" spans="1:5" x14ac:dyDescent="0.3">
      <c r="A114" s="16">
        <v>46167</v>
      </c>
      <c r="B114" s="17" t="s">
        <v>180</v>
      </c>
      <c r="C114" s="73"/>
      <c r="D114" s="18"/>
      <c r="E114"/>
    </row>
    <row r="115" spans="1:5" x14ac:dyDescent="0.3">
      <c r="A115" s="16">
        <v>46167</v>
      </c>
      <c r="B115" s="17" t="s">
        <v>181</v>
      </c>
      <c r="C115" s="73"/>
      <c r="D115" s="18"/>
      <c r="E115"/>
    </row>
    <row r="116" spans="1:5" x14ac:dyDescent="0.3">
      <c r="A116" s="90">
        <v>46167</v>
      </c>
      <c r="B116" s="91" t="s">
        <v>182</v>
      </c>
      <c r="C116" s="89"/>
      <c r="D116" s="18"/>
      <c r="E116"/>
    </row>
    <row r="117" spans="1:5" x14ac:dyDescent="0.3">
      <c r="A117" s="92">
        <v>46167</v>
      </c>
      <c r="B117" s="93" t="s">
        <v>103</v>
      </c>
      <c r="C117" s="72"/>
      <c r="D117" s="18"/>
      <c r="E117"/>
    </row>
    <row r="118" spans="1:5" x14ac:dyDescent="0.3">
      <c r="A118" s="99">
        <v>46167</v>
      </c>
      <c r="B118" s="100" t="s">
        <v>183</v>
      </c>
      <c r="C118" s="110"/>
      <c r="D118" s="18"/>
      <c r="E118"/>
    </row>
    <row r="119" spans="1:5" x14ac:dyDescent="0.3">
      <c r="A119" s="106"/>
      <c r="B119" s="107"/>
      <c r="C119" s="87"/>
      <c r="D119" s="18"/>
      <c r="E119"/>
    </row>
    <row r="120" spans="1:5" x14ac:dyDescent="0.3">
      <c r="A120" s="108"/>
      <c r="B120" s="109"/>
      <c r="C120" s="72"/>
      <c r="D120" s="18"/>
    </row>
    <row r="121" spans="1:5" ht="17.399999999999999" x14ac:dyDescent="0.3">
      <c r="A121" s="126" t="s">
        <v>50</v>
      </c>
      <c r="B121" s="126"/>
      <c r="C121" s="74"/>
      <c r="D121" s="18"/>
    </row>
    <row r="122" spans="1:5" x14ac:dyDescent="0.3">
      <c r="B122" s="37" t="s">
        <v>51</v>
      </c>
    </row>
    <row r="123" spans="1:5" x14ac:dyDescent="0.3">
      <c r="A123" s="8">
        <v>46148</v>
      </c>
      <c r="B123" s="9" t="s">
        <v>52</v>
      </c>
      <c r="C123" s="62"/>
      <c r="D123" s="10"/>
    </row>
    <row r="124" spans="1:5" x14ac:dyDescent="0.3">
      <c r="A124" s="8">
        <v>46153</v>
      </c>
      <c r="B124" s="9" t="s">
        <v>184</v>
      </c>
      <c r="C124" s="62"/>
      <c r="D124" s="10"/>
    </row>
    <row r="125" spans="1:5" x14ac:dyDescent="0.3">
      <c r="A125" s="8">
        <v>46153</v>
      </c>
      <c r="B125" s="9" t="s">
        <v>54</v>
      </c>
      <c r="C125" s="62"/>
      <c r="D125" s="10"/>
    </row>
    <row r="126" spans="1:5" x14ac:dyDescent="0.3">
      <c r="A126" s="8">
        <v>46162</v>
      </c>
      <c r="B126" s="9" t="s">
        <v>55</v>
      </c>
      <c r="C126" s="62"/>
      <c r="D126" s="10"/>
    </row>
    <row r="127" spans="1:5" x14ac:dyDescent="0.3">
      <c r="A127" s="8">
        <v>46167</v>
      </c>
      <c r="B127" s="9" t="s">
        <v>56</v>
      </c>
      <c r="C127" s="62"/>
      <c r="D127" s="10"/>
    </row>
    <row r="128" spans="1:5" x14ac:dyDescent="0.3">
      <c r="D128" s="10"/>
    </row>
    <row r="129" spans="1:8" ht="17.399999999999999" x14ac:dyDescent="0.3">
      <c r="B129" s="7" t="s">
        <v>57</v>
      </c>
      <c r="C129" s="74"/>
      <c r="D129" s="10"/>
    </row>
    <row r="130" spans="1:8" x14ac:dyDescent="0.3">
      <c r="A130" s="16">
        <v>46148</v>
      </c>
      <c r="B130" s="40" t="s">
        <v>108</v>
      </c>
      <c r="C130" s="72"/>
      <c r="D130" s="35"/>
    </row>
    <row r="131" spans="1:8" x14ac:dyDescent="0.3">
      <c r="A131" s="16">
        <v>46149</v>
      </c>
      <c r="B131" s="17" t="s">
        <v>58</v>
      </c>
      <c r="C131" s="73"/>
      <c r="D131" s="35"/>
      <c r="H131" s="95"/>
    </row>
    <row r="132" spans="1:8" x14ac:dyDescent="0.3">
      <c r="A132" s="16">
        <v>45784</v>
      </c>
      <c r="B132" s="17" t="s">
        <v>97</v>
      </c>
      <c r="C132" s="73"/>
      <c r="D132" s="35"/>
      <c r="H132" s="95"/>
    </row>
    <row r="133" spans="1:8" x14ac:dyDescent="0.3">
      <c r="A133" s="16">
        <v>45784</v>
      </c>
      <c r="B133" s="17" t="s">
        <v>185</v>
      </c>
      <c r="C133" s="73"/>
      <c r="D133" s="35"/>
    </row>
    <row r="134" spans="1:8" x14ac:dyDescent="0.3">
      <c r="A134" s="16">
        <v>46162</v>
      </c>
      <c r="B134" s="17" t="s">
        <v>59</v>
      </c>
      <c r="C134" s="73"/>
      <c r="D134" s="35"/>
    </row>
    <row r="136" spans="1:8" ht="17.399999999999999" x14ac:dyDescent="0.3">
      <c r="B136" s="7" t="s">
        <v>60</v>
      </c>
      <c r="C136" s="74"/>
    </row>
    <row r="137" spans="1:8" x14ac:dyDescent="0.3">
      <c r="A137" s="16">
        <v>46152</v>
      </c>
      <c r="B137" s="40" t="s">
        <v>109</v>
      </c>
      <c r="C137" s="72"/>
      <c r="D137" s="18"/>
    </row>
    <row r="138" spans="1:8" x14ac:dyDescent="0.3">
      <c r="A138" s="16">
        <v>46157</v>
      </c>
      <c r="B138" s="17" t="s">
        <v>124</v>
      </c>
      <c r="C138" s="73"/>
      <c r="D138" s="18"/>
    </row>
    <row r="139" spans="1:8" x14ac:dyDescent="0.3">
      <c r="A139" s="16">
        <v>46157</v>
      </c>
      <c r="B139" s="40" t="s">
        <v>126</v>
      </c>
      <c r="C139" s="72"/>
      <c r="D139" s="18"/>
    </row>
    <row r="140" spans="1:8" x14ac:dyDescent="0.3">
      <c r="A140" s="16">
        <v>46157</v>
      </c>
      <c r="B140" s="17" t="s">
        <v>125</v>
      </c>
      <c r="C140" s="73"/>
      <c r="D140" s="18"/>
    </row>
    <row r="141" spans="1:8" x14ac:dyDescent="0.3">
      <c r="A141" s="16">
        <v>46157</v>
      </c>
      <c r="B141" s="17" t="s">
        <v>124</v>
      </c>
      <c r="C141" s="73"/>
      <c r="D141" s="18"/>
      <c r="E141" s="36"/>
    </row>
    <row r="143" spans="1:8" x14ac:dyDescent="0.3">
      <c r="C143" s="76">
        <f>SUM(C57:C142)</f>
        <v>0</v>
      </c>
      <c r="D143" s="4">
        <f>SUM(D56:D142)</f>
        <v>0</v>
      </c>
    </row>
    <row r="144" spans="1:8" x14ac:dyDescent="0.3">
      <c r="C144" s="79"/>
      <c r="F144"/>
    </row>
    <row r="145" spans="1:4" ht="15" customHeight="1" x14ac:dyDescent="0.3">
      <c r="A145" s="127" t="s">
        <v>61</v>
      </c>
      <c r="B145" s="128"/>
      <c r="C145" s="80"/>
      <c r="D145" s="19"/>
    </row>
    <row r="146" spans="1:4" ht="15.75" customHeight="1" x14ac:dyDescent="0.3">
      <c r="A146" s="129"/>
      <c r="B146" s="130"/>
      <c r="C146" s="81"/>
      <c r="D146" s="20"/>
    </row>
    <row r="147" spans="1:4" x14ac:dyDescent="0.3">
      <c r="A147" s="131" t="s">
        <v>62</v>
      </c>
      <c r="B147" s="131" t="s">
        <v>63</v>
      </c>
      <c r="C147" s="133" t="s">
        <v>64</v>
      </c>
      <c r="D147" s="118" t="s">
        <v>65</v>
      </c>
    </row>
    <row r="148" spans="1:4" ht="15.75" customHeight="1" x14ac:dyDescent="0.3">
      <c r="A148" s="132"/>
      <c r="B148" s="132"/>
      <c r="C148" s="134"/>
      <c r="D148" s="119"/>
    </row>
    <row r="149" spans="1:4" x14ac:dyDescent="0.3">
      <c r="A149" s="21">
        <v>46146</v>
      </c>
      <c r="B149" s="22" t="s">
        <v>186</v>
      </c>
      <c r="C149" s="82"/>
      <c r="D149" s="23"/>
    </row>
    <row r="150" spans="1:4" x14ac:dyDescent="0.3">
      <c r="A150" s="21">
        <v>46146</v>
      </c>
      <c r="B150" s="22" t="s">
        <v>187</v>
      </c>
      <c r="C150" s="82"/>
      <c r="D150" s="23"/>
    </row>
    <row r="151" spans="1:4" x14ac:dyDescent="0.3">
      <c r="A151" s="21">
        <v>46146</v>
      </c>
      <c r="B151" s="22" t="s">
        <v>110</v>
      </c>
      <c r="C151" s="82"/>
      <c r="D151" s="23"/>
    </row>
    <row r="152" spans="1:4" x14ac:dyDescent="0.3">
      <c r="A152" s="21">
        <v>46146</v>
      </c>
      <c r="B152" s="22" t="s">
        <v>188</v>
      </c>
      <c r="C152" s="82"/>
      <c r="D152" s="23"/>
    </row>
    <row r="153" spans="1:4" x14ac:dyDescent="0.3">
      <c r="A153" s="21">
        <v>46146</v>
      </c>
      <c r="B153" s="22" t="s">
        <v>189</v>
      </c>
      <c r="C153" s="82"/>
      <c r="D153" s="23"/>
    </row>
    <row r="154" spans="1:4" x14ac:dyDescent="0.3">
      <c r="A154" s="21">
        <v>46146</v>
      </c>
      <c r="B154" s="22" t="s">
        <v>190</v>
      </c>
      <c r="C154" s="82"/>
      <c r="D154" s="23"/>
    </row>
    <row r="155" spans="1:4" x14ac:dyDescent="0.3">
      <c r="A155" s="21">
        <v>46146</v>
      </c>
      <c r="B155" s="22" t="s">
        <v>191</v>
      </c>
      <c r="C155" s="82"/>
      <c r="D155" s="23"/>
    </row>
    <row r="156" spans="1:4" x14ac:dyDescent="0.3">
      <c r="A156" s="21">
        <v>46146</v>
      </c>
      <c r="B156" s="22" t="s">
        <v>192</v>
      </c>
      <c r="C156" s="82"/>
      <c r="D156" s="23"/>
    </row>
    <row r="157" spans="1:4" x14ac:dyDescent="0.3">
      <c r="A157" s="21">
        <v>46146</v>
      </c>
      <c r="B157" s="22" t="s">
        <v>193</v>
      </c>
      <c r="C157" s="82"/>
      <c r="D157" s="23"/>
    </row>
    <row r="158" spans="1:4" x14ac:dyDescent="0.3">
      <c r="A158" s="21">
        <v>46146</v>
      </c>
      <c r="B158" s="22" t="s">
        <v>194</v>
      </c>
      <c r="C158" s="82"/>
      <c r="D158" s="23"/>
    </row>
    <row r="159" spans="1:4" x14ac:dyDescent="0.3">
      <c r="A159" s="21">
        <v>46146</v>
      </c>
      <c r="B159" s="22" t="s">
        <v>67</v>
      </c>
      <c r="C159" s="82"/>
      <c r="D159" s="23"/>
    </row>
    <row r="160" spans="1:4" x14ac:dyDescent="0.3">
      <c r="A160" s="21">
        <v>46147</v>
      </c>
      <c r="B160" s="22" t="s">
        <v>186</v>
      </c>
      <c r="C160" s="82"/>
      <c r="D160" s="23"/>
    </row>
    <row r="161" spans="1:5" x14ac:dyDescent="0.3">
      <c r="A161" s="21">
        <v>46147</v>
      </c>
      <c r="B161" s="22" t="s">
        <v>110</v>
      </c>
      <c r="C161" s="82"/>
      <c r="D161" s="23"/>
      <c r="E161"/>
    </row>
    <row r="162" spans="1:5" x14ac:dyDescent="0.3">
      <c r="A162" s="21">
        <v>46147</v>
      </c>
      <c r="B162" s="22" t="s">
        <v>195</v>
      </c>
      <c r="C162" s="82"/>
      <c r="D162" s="23"/>
    </row>
    <row r="163" spans="1:5" x14ac:dyDescent="0.3">
      <c r="A163" s="21">
        <v>46147</v>
      </c>
      <c r="B163" s="22" t="s">
        <v>190</v>
      </c>
      <c r="C163" s="82"/>
      <c r="D163" s="23"/>
    </row>
    <row r="164" spans="1:5" x14ac:dyDescent="0.3">
      <c r="A164" s="21">
        <v>46147</v>
      </c>
      <c r="B164" s="22" t="s">
        <v>189</v>
      </c>
      <c r="C164" s="82"/>
      <c r="D164" s="23"/>
    </row>
    <row r="165" spans="1:5" x14ac:dyDescent="0.3">
      <c r="A165" s="21">
        <v>46147</v>
      </c>
      <c r="B165" s="22" t="s">
        <v>188</v>
      </c>
      <c r="C165" s="82"/>
      <c r="D165" s="23"/>
    </row>
    <row r="166" spans="1:5" x14ac:dyDescent="0.3">
      <c r="A166" s="21">
        <v>46147</v>
      </c>
      <c r="B166" s="22" t="s">
        <v>192</v>
      </c>
      <c r="C166" s="82"/>
      <c r="D166" s="23"/>
    </row>
    <row r="167" spans="1:5" x14ac:dyDescent="0.3">
      <c r="A167" s="21">
        <v>46147</v>
      </c>
      <c r="B167" s="22" t="s">
        <v>191</v>
      </c>
      <c r="C167" s="82"/>
      <c r="D167" s="23"/>
    </row>
    <row r="168" spans="1:5" x14ac:dyDescent="0.3">
      <c r="A168" s="21">
        <v>46147</v>
      </c>
      <c r="B168" s="22" t="s">
        <v>193</v>
      </c>
      <c r="C168" s="82"/>
      <c r="D168" s="23"/>
    </row>
    <row r="169" spans="1:5" x14ac:dyDescent="0.3">
      <c r="A169" s="21">
        <v>46147</v>
      </c>
      <c r="B169" s="22" t="s">
        <v>194</v>
      </c>
      <c r="C169" s="82"/>
      <c r="D169" s="23"/>
    </row>
    <row r="170" spans="1:5" x14ac:dyDescent="0.3">
      <c r="A170" s="21">
        <v>46147</v>
      </c>
      <c r="B170" s="22" t="s">
        <v>196</v>
      </c>
      <c r="C170" s="82"/>
      <c r="D170" s="23"/>
    </row>
    <row r="171" spans="1:5" x14ac:dyDescent="0.3">
      <c r="A171" s="21">
        <v>46147</v>
      </c>
      <c r="B171" s="22" t="s">
        <v>197</v>
      </c>
      <c r="C171" s="82"/>
      <c r="D171" s="23"/>
    </row>
    <row r="172" spans="1:5" x14ac:dyDescent="0.3">
      <c r="A172" s="21">
        <v>46148</v>
      </c>
      <c r="B172" s="22" t="s">
        <v>186</v>
      </c>
      <c r="C172" s="82"/>
      <c r="D172" s="23"/>
    </row>
    <row r="173" spans="1:5" x14ac:dyDescent="0.3">
      <c r="A173" s="21">
        <v>46148</v>
      </c>
      <c r="B173" s="22" t="s">
        <v>110</v>
      </c>
      <c r="C173" s="82"/>
      <c r="D173" s="23"/>
    </row>
    <row r="174" spans="1:5" x14ac:dyDescent="0.3">
      <c r="A174" s="21">
        <v>46148</v>
      </c>
      <c r="B174" s="22" t="s">
        <v>191</v>
      </c>
      <c r="C174" s="82"/>
      <c r="D174" s="23"/>
    </row>
    <row r="175" spans="1:5" x14ac:dyDescent="0.3">
      <c r="A175" s="21">
        <v>46148</v>
      </c>
      <c r="B175" s="22" t="s">
        <v>192</v>
      </c>
      <c r="C175" s="82"/>
      <c r="D175" s="23"/>
    </row>
    <row r="176" spans="1:5" x14ac:dyDescent="0.3">
      <c r="A176" s="21">
        <v>46148</v>
      </c>
      <c r="B176" s="22" t="s">
        <v>190</v>
      </c>
      <c r="C176" s="82"/>
      <c r="D176" s="23"/>
    </row>
    <row r="177" spans="1:4" x14ac:dyDescent="0.3">
      <c r="A177" s="21">
        <v>46148</v>
      </c>
      <c r="B177" s="22" t="s">
        <v>190</v>
      </c>
      <c r="C177" s="82"/>
      <c r="D177" s="23"/>
    </row>
    <row r="178" spans="1:4" x14ac:dyDescent="0.3">
      <c r="A178" s="21">
        <v>46148</v>
      </c>
      <c r="B178" s="22" t="s">
        <v>188</v>
      </c>
      <c r="C178" s="82"/>
      <c r="D178" s="23"/>
    </row>
    <row r="179" spans="1:4" x14ac:dyDescent="0.3">
      <c r="A179" s="21">
        <v>46148</v>
      </c>
      <c r="B179" s="22" t="s">
        <v>196</v>
      </c>
      <c r="C179" s="82"/>
      <c r="D179" s="23"/>
    </row>
    <row r="180" spans="1:4" x14ac:dyDescent="0.3">
      <c r="A180" s="21">
        <v>46148</v>
      </c>
      <c r="B180" s="22" t="s">
        <v>194</v>
      </c>
      <c r="C180" s="82"/>
      <c r="D180" s="23"/>
    </row>
    <row r="181" spans="1:4" x14ac:dyDescent="0.3">
      <c r="A181" s="21">
        <v>46148</v>
      </c>
      <c r="B181" s="22" t="s">
        <v>189</v>
      </c>
      <c r="C181" s="82"/>
      <c r="D181" s="23"/>
    </row>
    <row r="182" spans="1:4" x14ac:dyDescent="0.3">
      <c r="A182" s="21">
        <v>46149</v>
      </c>
      <c r="B182" s="22" t="s">
        <v>186</v>
      </c>
      <c r="C182" s="82"/>
      <c r="D182" s="23"/>
    </row>
    <row r="183" spans="1:4" x14ac:dyDescent="0.3">
      <c r="A183" s="21">
        <v>46149</v>
      </c>
      <c r="B183" s="22" t="s">
        <v>110</v>
      </c>
      <c r="C183" s="82"/>
      <c r="D183" s="23"/>
    </row>
    <row r="184" spans="1:4" x14ac:dyDescent="0.3">
      <c r="A184" s="21">
        <v>46149</v>
      </c>
      <c r="B184" s="22" t="s">
        <v>198</v>
      </c>
      <c r="C184" s="82"/>
      <c r="D184" s="23"/>
    </row>
    <row r="185" spans="1:4" x14ac:dyDescent="0.3">
      <c r="A185" s="21">
        <v>46149</v>
      </c>
      <c r="B185" s="22" t="s">
        <v>190</v>
      </c>
      <c r="C185" s="82"/>
      <c r="D185" s="23"/>
    </row>
    <row r="186" spans="1:4" x14ac:dyDescent="0.3">
      <c r="A186" s="21">
        <v>46149</v>
      </c>
      <c r="B186" s="22" t="s">
        <v>199</v>
      </c>
      <c r="C186" s="82"/>
      <c r="D186" s="23"/>
    </row>
    <row r="187" spans="1:4" x14ac:dyDescent="0.3">
      <c r="A187" s="21">
        <v>46149</v>
      </c>
      <c r="B187" s="22" t="s">
        <v>191</v>
      </c>
      <c r="C187" s="82"/>
      <c r="D187" s="23"/>
    </row>
    <row r="188" spans="1:4" x14ac:dyDescent="0.3">
      <c r="A188" s="21">
        <v>46149</v>
      </c>
      <c r="B188" s="22" t="s">
        <v>189</v>
      </c>
      <c r="C188" s="82"/>
      <c r="D188" s="23"/>
    </row>
    <row r="189" spans="1:4" x14ac:dyDescent="0.3">
      <c r="A189" s="21">
        <v>46149</v>
      </c>
      <c r="B189" s="22" t="s">
        <v>192</v>
      </c>
      <c r="C189" s="82"/>
      <c r="D189" s="23"/>
    </row>
    <row r="190" spans="1:4" x14ac:dyDescent="0.3">
      <c r="A190" s="21">
        <v>46149</v>
      </c>
      <c r="B190" s="22" t="s">
        <v>188</v>
      </c>
      <c r="C190" s="82"/>
      <c r="D190" s="23"/>
    </row>
    <row r="191" spans="1:4" x14ac:dyDescent="0.3">
      <c r="A191" s="21">
        <v>46149</v>
      </c>
      <c r="B191" s="22" t="s">
        <v>197</v>
      </c>
      <c r="C191" s="82"/>
      <c r="D191" s="23"/>
    </row>
    <row r="192" spans="1:4" x14ac:dyDescent="0.3">
      <c r="A192" s="21">
        <v>46149</v>
      </c>
      <c r="B192" s="22" t="s">
        <v>194</v>
      </c>
      <c r="C192" s="82"/>
      <c r="D192" s="23"/>
    </row>
    <row r="193" spans="1:4" x14ac:dyDescent="0.3">
      <c r="A193" s="21">
        <v>46150</v>
      </c>
      <c r="B193" s="22" t="s">
        <v>186</v>
      </c>
      <c r="C193" s="82"/>
      <c r="D193" s="23"/>
    </row>
    <row r="194" spans="1:4" x14ac:dyDescent="0.3">
      <c r="A194" s="21">
        <v>46150</v>
      </c>
      <c r="B194" s="22" t="s">
        <v>187</v>
      </c>
      <c r="C194" s="82"/>
      <c r="D194" s="23"/>
    </row>
    <row r="195" spans="1:4" x14ac:dyDescent="0.3">
      <c r="A195" s="21">
        <v>46150</v>
      </c>
      <c r="B195" s="22" t="s">
        <v>188</v>
      </c>
      <c r="C195" s="82"/>
      <c r="D195" s="23"/>
    </row>
    <row r="196" spans="1:4" x14ac:dyDescent="0.3">
      <c r="A196" s="21">
        <v>46150</v>
      </c>
      <c r="B196" s="22" t="s">
        <v>189</v>
      </c>
      <c r="C196" s="82"/>
      <c r="D196" s="23"/>
    </row>
    <row r="197" spans="1:4" x14ac:dyDescent="0.3">
      <c r="A197" s="21">
        <v>46150</v>
      </c>
      <c r="B197" s="22" t="s">
        <v>191</v>
      </c>
      <c r="C197" s="82"/>
      <c r="D197" s="23"/>
    </row>
    <row r="198" spans="1:4" x14ac:dyDescent="0.3">
      <c r="A198" s="21">
        <v>46150</v>
      </c>
      <c r="B198" s="22" t="s">
        <v>192</v>
      </c>
      <c r="C198" s="82"/>
      <c r="D198" s="23"/>
    </row>
    <row r="199" spans="1:4" x14ac:dyDescent="0.3">
      <c r="A199" s="21">
        <v>46150</v>
      </c>
      <c r="B199" s="22" t="s">
        <v>194</v>
      </c>
      <c r="C199" s="82"/>
      <c r="D199" s="23"/>
    </row>
    <row r="200" spans="1:4" x14ac:dyDescent="0.3">
      <c r="A200" s="21">
        <v>46153</v>
      </c>
      <c r="B200" s="22" t="s">
        <v>186</v>
      </c>
      <c r="C200" s="82"/>
      <c r="D200" s="23"/>
    </row>
    <row r="201" spans="1:4" x14ac:dyDescent="0.3">
      <c r="A201" s="21">
        <v>46153</v>
      </c>
      <c r="B201" s="22" t="s">
        <v>200</v>
      </c>
      <c r="C201" s="82"/>
      <c r="D201" s="23"/>
    </row>
    <row r="202" spans="1:4" x14ac:dyDescent="0.3">
      <c r="A202" s="21">
        <v>46153</v>
      </c>
      <c r="B202" s="22" t="s">
        <v>195</v>
      </c>
      <c r="C202" s="82"/>
      <c r="D202" s="23"/>
    </row>
    <row r="203" spans="1:4" x14ac:dyDescent="0.3">
      <c r="A203" s="21">
        <v>46153</v>
      </c>
      <c r="B203" s="22" t="s">
        <v>198</v>
      </c>
      <c r="C203" s="82"/>
      <c r="D203" s="23"/>
    </row>
    <row r="204" spans="1:4" x14ac:dyDescent="0.3">
      <c r="A204" s="21">
        <v>46153</v>
      </c>
      <c r="B204" s="22" t="s">
        <v>110</v>
      </c>
      <c r="C204" s="82"/>
      <c r="D204" s="23"/>
    </row>
    <row r="205" spans="1:4" x14ac:dyDescent="0.3">
      <c r="A205" s="21">
        <v>46153</v>
      </c>
      <c r="B205" s="22" t="s">
        <v>188</v>
      </c>
      <c r="C205" s="82"/>
      <c r="D205" s="23"/>
    </row>
    <row r="206" spans="1:4" x14ac:dyDescent="0.3">
      <c r="A206" s="21">
        <v>46153</v>
      </c>
      <c r="B206" s="22" t="s">
        <v>189</v>
      </c>
      <c r="C206" s="82"/>
      <c r="D206" s="23"/>
    </row>
    <row r="207" spans="1:4" x14ac:dyDescent="0.3">
      <c r="A207" s="21">
        <v>46153</v>
      </c>
      <c r="B207" s="22" t="s">
        <v>191</v>
      </c>
      <c r="C207" s="82"/>
      <c r="D207" s="23"/>
    </row>
    <row r="208" spans="1:4" x14ac:dyDescent="0.3">
      <c r="A208" s="21">
        <v>46153</v>
      </c>
      <c r="B208" s="22" t="s">
        <v>199</v>
      </c>
      <c r="C208" s="82"/>
      <c r="D208" s="23"/>
    </row>
    <row r="209" spans="1:4" x14ac:dyDescent="0.3">
      <c r="A209" s="21">
        <v>46153</v>
      </c>
      <c r="B209" s="22" t="s">
        <v>192</v>
      </c>
      <c r="C209" s="82"/>
      <c r="D209" s="23"/>
    </row>
    <row r="210" spans="1:4" x14ac:dyDescent="0.3">
      <c r="A210" s="21">
        <v>46184</v>
      </c>
      <c r="B210" s="22" t="s">
        <v>194</v>
      </c>
      <c r="C210" s="82"/>
      <c r="D210" s="23"/>
    </row>
    <row r="211" spans="1:4" x14ac:dyDescent="0.3">
      <c r="A211" s="21">
        <v>46184</v>
      </c>
      <c r="B211" s="22" t="s">
        <v>201</v>
      </c>
      <c r="C211" s="82"/>
      <c r="D211" s="23"/>
    </row>
    <row r="212" spans="1:4" x14ac:dyDescent="0.3">
      <c r="A212" s="21">
        <v>46154</v>
      </c>
      <c r="B212" s="22" t="s">
        <v>186</v>
      </c>
      <c r="C212" s="82"/>
      <c r="D212" s="23"/>
    </row>
    <row r="213" spans="1:4" x14ac:dyDescent="0.3">
      <c r="A213" s="21">
        <v>46154</v>
      </c>
      <c r="B213" s="22" t="s">
        <v>189</v>
      </c>
      <c r="C213" s="82"/>
      <c r="D213" s="23"/>
    </row>
    <row r="214" spans="1:4" x14ac:dyDescent="0.3">
      <c r="A214" s="21">
        <v>46154</v>
      </c>
      <c r="B214" s="22" t="s">
        <v>188</v>
      </c>
      <c r="C214" s="82"/>
      <c r="D214" s="23"/>
    </row>
    <row r="215" spans="1:4" x14ac:dyDescent="0.3">
      <c r="A215" s="21">
        <v>46154</v>
      </c>
      <c r="B215" s="22" t="s">
        <v>111</v>
      </c>
      <c r="C215" s="82"/>
      <c r="D215" s="23"/>
    </row>
    <row r="216" spans="1:4" x14ac:dyDescent="0.3">
      <c r="A216" s="21">
        <v>46154</v>
      </c>
      <c r="B216" s="22" t="s">
        <v>111</v>
      </c>
      <c r="C216" s="82"/>
      <c r="D216" s="23"/>
    </row>
    <row r="217" spans="1:4" x14ac:dyDescent="0.3">
      <c r="A217" s="21">
        <v>46154</v>
      </c>
      <c r="B217" s="22" t="s">
        <v>192</v>
      </c>
      <c r="C217" s="82"/>
      <c r="D217" s="23"/>
    </row>
    <row r="218" spans="1:4" x14ac:dyDescent="0.3">
      <c r="A218" s="21">
        <v>46154</v>
      </c>
      <c r="B218" s="22" t="s">
        <v>191</v>
      </c>
      <c r="C218" s="82"/>
      <c r="D218" s="23"/>
    </row>
    <row r="219" spans="1:4" x14ac:dyDescent="0.3">
      <c r="A219" s="21">
        <v>46154</v>
      </c>
      <c r="B219" s="22" t="s">
        <v>194</v>
      </c>
      <c r="C219" s="82"/>
      <c r="D219" s="23"/>
    </row>
    <row r="220" spans="1:4" x14ac:dyDescent="0.3">
      <c r="A220" s="21">
        <v>46154</v>
      </c>
      <c r="B220" s="22" t="s">
        <v>197</v>
      </c>
      <c r="C220" s="82"/>
      <c r="D220" s="23"/>
    </row>
    <row r="221" spans="1:4" x14ac:dyDescent="0.3">
      <c r="A221" s="21">
        <v>46155</v>
      </c>
      <c r="B221" s="22" t="s">
        <v>110</v>
      </c>
      <c r="C221" s="82"/>
      <c r="D221" s="23"/>
    </row>
    <row r="222" spans="1:4" x14ac:dyDescent="0.3">
      <c r="A222" s="21">
        <v>46155</v>
      </c>
      <c r="B222" s="22" t="s">
        <v>186</v>
      </c>
      <c r="C222" s="82"/>
      <c r="D222" s="23"/>
    </row>
    <row r="223" spans="1:4" x14ac:dyDescent="0.3">
      <c r="A223" s="21">
        <v>46155</v>
      </c>
      <c r="B223" s="22" t="s">
        <v>198</v>
      </c>
      <c r="C223" s="82"/>
      <c r="D223" s="23"/>
    </row>
    <row r="224" spans="1:4" x14ac:dyDescent="0.3">
      <c r="A224" s="21">
        <v>46155</v>
      </c>
      <c r="B224" s="22" t="s">
        <v>189</v>
      </c>
      <c r="C224" s="82"/>
      <c r="D224" s="23"/>
    </row>
    <row r="225" spans="1:4" x14ac:dyDescent="0.3">
      <c r="A225" s="21">
        <v>46155</v>
      </c>
      <c r="B225" s="22" t="s">
        <v>111</v>
      </c>
      <c r="C225" s="82"/>
      <c r="D225" s="23"/>
    </row>
    <row r="226" spans="1:4" x14ac:dyDescent="0.3">
      <c r="A226" s="21">
        <v>46155</v>
      </c>
      <c r="B226" s="22" t="s">
        <v>188</v>
      </c>
      <c r="C226" s="82"/>
      <c r="D226" s="23"/>
    </row>
    <row r="227" spans="1:4" x14ac:dyDescent="0.3">
      <c r="A227" s="21">
        <v>46155</v>
      </c>
      <c r="B227" s="22" t="s">
        <v>191</v>
      </c>
      <c r="C227" s="82"/>
      <c r="D227" s="23"/>
    </row>
    <row r="228" spans="1:4" x14ac:dyDescent="0.3">
      <c r="A228" s="21">
        <v>46155</v>
      </c>
      <c r="B228" s="22" t="s">
        <v>192</v>
      </c>
      <c r="C228" s="82"/>
      <c r="D228" s="23"/>
    </row>
    <row r="229" spans="1:4" x14ac:dyDescent="0.3">
      <c r="A229" s="21">
        <v>46155</v>
      </c>
      <c r="B229" s="22" t="s">
        <v>194</v>
      </c>
      <c r="C229" s="82"/>
      <c r="D229" s="23"/>
    </row>
    <row r="230" spans="1:4" x14ac:dyDescent="0.3">
      <c r="A230" s="21">
        <v>46156</v>
      </c>
      <c r="B230" s="22" t="s">
        <v>110</v>
      </c>
      <c r="C230" s="82"/>
      <c r="D230" s="23"/>
    </row>
    <row r="231" spans="1:4" x14ac:dyDescent="0.3">
      <c r="A231" s="21">
        <v>46156</v>
      </c>
      <c r="B231" s="22" t="s">
        <v>186</v>
      </c>
      <c r="C231" s="82"/>
      <c r="D231" s="23"/>
    </row>
    <row r="232" spans="1:4" x14ac:dyDescent="0.3">
      <c r="A232" s="21">
        <v>46156</v>
      </c>
      <c r="B232" s="22" t="s">
        <v>110</v>
      </c>
      <c r="C232" s="82"/>
      <c r="D232" s="23"/>
    </row>
    <row r="233" spans="1:4" x14ac:dyDescent="0.3">
      <c r="A233" s="21">
        <v>46156</v>
      </c>
      <c r="B233" s="22" t="s">
        <v>189</v>
      </c>
      <c r="C233" s="82"/>
      <c r="D233" s="23"/>
    </row>
    <row r="234" spans="1:4" x14ac:dyDescent="0.3">
      <c r="A234" s="21">
        <v>46156</v>
      </c>
      <c r="B234" s="22" t="s">
        <v>111</v>
      </c>
      <c r="C234" s="82"/>
      <c r="D234" s="23"/>
    </row>
    <row r="235" spans="1:4" x14ac:dyDescent="0.3">
      <c r="A235" s="21">
        <v>46156</v>
      </c>
      <c r="B235" s="22" t="s">
        <v>192</v>
      </c>
      <c r="C235" s="82"/>
      <c r="D235" s="23"/>
    </row>
    <row r="236" spans="1:4" x14ac:dyDescent="0.3">
      <c r="A236" s="21">
        <v>46156</v>
      </c>
      <c r="B236" s="22" t="s">
        <v>188</v>
      </c>
      <c r="C236" s="82"/>
      <c r="D236" s="23"/>
    </row>
    <row r="237" spans="1:4" x14ac:dyDescent="0.3">
      <c r="A237" s="21">
        <v>46156</v>
      </c>
      <c r="B237" s="22" t="s">
        <v>194</v>
      </c>
      <c r="C237" s="82"/>
      <c r="D237" s="23"/>
    </row>
    <row r="238" spans="1:4" x14ac:dyDescent="0.3">
      <c r="A238" s="21">
        <v>46156</v>
      </c>
      <c r="B238" s="22" t="s">
        <v>191</v>
      </c>
      <c r="C238" s="82"/>
      <c r="D238" s="23"/>
    </row>
    <row r="239" spans="1:4" x14ac:dyDescent="0.3">
      <c r="A239" s="21">
        <v>46156</v>
      </c>
      <c r="B239" s="22" t="s">
        <v>200</v>
      </c>
      <c r="C239" s="82"/>
      <c r="D239" s="23"/>
    </row>
    <row r="240" spans="1:4" x14ac:dyDescent="0.3">
      <c r="A240" s="21">
        <v>46156</v>
      </c>
      <c r="B240" s="22" t="s">
        <v>197</v>
      </c>
      <c r="C240" s="82"/>
      <c r="D240" s="23"/>
    </row>
    <row r="241" spans="1:4" x14ac:dyDescent="0.3">
      <c r="A241" s="21">
        <v>46157</v>
      </c>
      <c r="B241" s="22" t="s">
        <v>187</v>
      </c>
      <c r="C241" s="82"/>
      <c r="D241" s="23"/>
    </row>
    <row r="242" spans="1:4" x14ac:dyDescent="0.3">
      <c r="A242" s="21">
        <v>46157</v>
      </c>
      <c r="B242" s="22" t="s">
        <v>186</v>
      </c>
      <c r="C242" s="82"/>
      <c r="D242" s="23"/>
    </row>
    <row r="243" spans="1:4" x14ac:dyDescent="0.3">
      <c r="A243" s="21">
        <v>46157</v>
      </c>
      <c r="B243" s="22" t="s">
        <v>188</v>
      </c>
      <c r="C243" s="82"/>
      <c r="D243" s="23"/>
    </row>
    <row r="244" spans="1:4" x14ac:dyDescent="0.3">
      <c r="A244" s="21">
        <v>46157</v>
      </c>
      <c r="B244" s="22" t="s">
        <v>111</v>
      </c>
      <c r="C244" s="82"/>
      <c r="D244" s="23"/>
    </row>
    <row r="245" spans="1:4" x14ac:dyDescent="0.3">
      <c r="A245" s="21">
        <v>46157</v>
      </c>
      <c r="B245" s="22" t="s">
        <v>191</v>
      </c>
      <c r="C245" s="82"/>
      <c r="D245" s="23"/>
    </row>
    <row r="246" spans="1:4" x14ac:dyDescent="0.3">
      <c r="A246" s="21">
        <v>46157</v>
      </c>
      <c r="B246" s="22" t="s">
        <v>189</v>
      </c>
      <c r="C246" s="82"/>
      <c r="D246" s="23"/>
    </row>
    <row r="247" spans="1:4" x14ac:dyDescent="0.3">
      <c r="A247" s="21">
        <v>46160</v>
      </c>
      <c r="B247" s="22" t="s">
        <v>186</v>
      </c>
      <c r="C247" s="82"/>
      <c r="D247" s="23"/>
    </row>
    <row r="248" spans="1:4" x14ac:dyDescent="0.3">
      <c r="A248" s="21">
        <v>46160</v>
      </c>
      <c r="B248" s="22" t="s">
        <v>69</v>
      </c>
      <c r="C248" s="82"/>
      <c r="D248" s="23"/>
    </row>
    <row r="249" spans="1:4" x14ac:dyDescent="0.3">
      <c r="A249" s="21">
        <v>46160</v>
      </c>
      <c r="B249" s="22" t="s">
        <v>189</v>
      </c>
      <c r="C249" s="82"/>
      <c r="D249" s="23"/>
    </row>
    <row r="250" spans="1:4" x14ac:dyDescent="0.3">
      <c r="A250" s="21">
        <v>46160</v>
      </c>
      <c r="B250" s="22" t="s">
        <v>188</v>
      </c>
      <c r="C250" s="82"/>
      <c r="D250" s="23"/>
    </row>
    <row r="251" spans="1:4" x14ac:dyDescent="0.3">
      <c r="A251" s="21">
        <v>46160</v>
      </c>
      <c r="B251" s="22" t="s">
        <v>110</v>
      </c>
      <c r="C251" s="82"/>
      <c r="D251" s="23"/>
    </row>
    <row r="252" spans="1:4" x14ac:dyDescent="0.3">
      <c r="A252" s="21">
        <v>46160</v>
      </c>
      <c r="B252" s="22" t="s">
        <v>111</v>
      </c>
      <c r="C252" s="82"/>
      <c r="D252" s="23"/>
    </row>
    <row r="253" spans="1:4" x14ac:dyDescent="0.3">
      <c r="A253" s="21">
        <v>46160</v>
      </c>
      <c r="B253" s="22" t="s">
        <v>202</v>
      </c>
      <c r="C253" s="82"/>
      <c r="D253" s="23"/>
    </row>
    <row r="254" spans="1:4" x14ac:dyDescent="0.3">
      <c r="A254" s="21">
        <v>46160</v>
      </c>
      <c r="B254" s="22" t="s">
        <v>191</v>
      </c>
      <c r="C254" s="82"/>
      <c r="D254" s="23"/>
    </row>
    <row r="255" spans="1:4" x14ac:dyDescent="0.3">
      <c r="A255" s="21">
        <v>46160</v>
      </c>
      <c r="B255" s="22" t="s">
        <v>203</v>
      </c>
      <c r="C255" s="82"/>
      <c r="D255" s="23"/>
    </row>
    <row r="256" spans="1:4" x14ac:dyDescent="0.3">
      <c r="A256" s="21">
        <v>46160</v>
      </c>
      <c r="B256" s="22" t="s">
        <v>201</v>
      </c>
      <c r="C256" s="82"/>
      <c r="D256" s="23"/>
    </row>
    <row r="257" spans="1:4" x14ac:dyDescent="0.3">
      <c r="A257" s="21">
        <v>46160</v>
      </c>
      <c r="B257" s="22" t="s">
        <v>194</v>
      </c>
      <c r="C257" s="82"/>
      <c r="D257" s="23"/>
    </row>
    <row r="258" spans="1:4" x14ac:dyDescent="0.3">
      <c r="A258" s="21">
        <v>46161</v>
      </c>
      <c r="B258" s="22" t="s">
        <v>186</v>
      </c>
      <c r="C258" s="82"/>
      <c r="D258" s="23"/>
    </row>
    <row r="259" spans="1:4" x14ac:dyDescent="0.3">
      <c r="A259" s="21">
        <v>46161</v>
      </c>
      <c r="B259" s="22" t="s">
        <v>110</v>
      </c>
      <c r="C259" s="82"/>
      <c r="D259" s="23"/>
    </row>
    <row r="260" spans="1:4" x14ac:dyDescent="0.3">
      <c r="A260" s="21">
        <v>46161</v>
      </c>
      <c r="B260" s="22" t="s">
        <v>189</v>
      </c>
      <c r="C260" s="82"/>
      <c r="D260" s="23"/>
    </row>
    <row r="261" spans="1:4" x14ac:dyDescent="0.3">
      <c r="A261" s="21">
        <v>46161</v>
      </c>
      <c r="B261" s="22" t="s">
        <v>111</v>
      </c>
      <c r="C261" s="82"/>
      <c r="D261" s="23"/>
    </row>
    <row r="262" spans="1:4" x14ac:dyDescent="0.3">
      <c r="A262" s="21">
        <v>46161</v>
      </c>
      <c r="B262" s="22" t="s">
        <v>191</v>
      </c>
      <c r="C262" s="82"/>
      <c r="D262" s="23"/>
    </row>
    <row r="263" spans="1:4" x14ac:dyDescent="0.3">
      <c r="A263" s="21">
        <v>46161</v>
      </c>
      <c r="B263" s="22" t="s">
        <v>192</v>
      </c>
      <c r="C263" s="82"/>
      <c r="D263" s="23"/>
    </row>
    <row r="264" spans="1:4" x14ac:dyDescent="0.3">
      <c r="A264" s="21">
        <v>46161</v>
      </c>
      <c r="B264" s="22" t="s">
        <v>202</v>
      </c>
      <c r="C264" s="82"/>
      <c r="D264" s="23"/>
    </row>
    <row r="265" spans="1:4" x14ac:dyDescent="0.3">
      <c r="A265" s="21">
        <v>46161</v>
      </c>
      <c r="B265" s="22" t="s">
        <v>188</v>
      </c>
      <c r="C265" s="82"/>
      <c r="D265" s="23"/>
    </row>
    <row r="266" spans="1:4" x14ac:dyDescent="0.3">
      <c r="A266" s="21">
        <v>46161</v>
      </c>
      <c r="B266" s="22" t="s">
        <v>194</v>
      </c>
      <c r="C266" s="82"/>
      <c r="D266" s="23"/>
    </row>
    <row r="267" spans="1:4" x14ac:dyDescent="0.3">
      <c r="A267" s="21">
        <v>46161</v>
      </c>
      <c r="B267" s="22" t="s">
        <v>197</v>
      </c>
      <c r="C267" s="82"/>
      <c r="D267" s="23"/>
    </row>
    <row r="268" spans="1:4" x14ac:dyDescent="0.3">
      <c r="A268" s="21">
        <v>46162</v>
      </c>
      <c r="B268" s="22" t="s">
        <v>204</v>
      </c>
      <c r="C268" s="82"/>
      <c r="D268" s="23"/>
    </row>
    <row r="269" spans="1:4" x14ac:dyDescent="0.3">
      <c r="A269" s="21">
        <v>46162</v>
      </c>
      <c r="B269" s="22" t="s">
        <v>186</v>
      </c>
      <c r="C269" s="82"/>
      <c r="D269" s="23"/>
    </row>
    <row r="270" spans="1:4" x14ac:dyDescent="0.3">
      <c r="A270" s="21">
        <v>46162</v>
      </c>
      <c r="B270" s="22" t="s">
        <v>110</v>
      </c>
      <c r="C270" s="82"/>
      <c r="D270" s="23"/>
    </row>
    <row r="271" spans="1:4" x14ac:dyDescent="0.3">
      <c r="A271" s="21">
        <v>46162</v>
      </c>
      <c r="B271" s="22" t="s">
        <v>205</v>
      </c>
      <c r="C271" s="82"/>
      <c r="D271" s="23"/>
    </row>
    <row r="272" spans="1:4" x14ac:dyDescent="0.3">
      <c r="A272" s="21">
        <v>46162</v>
      </c>
      <c r="B272" s="22" t="s">
        <v>191</v>
      </c>
      <c r="C272" s="82"/>
      <c r="D272" s="23"/>
    </row>
    <row r="273" spans="1:4" x14ac:dyDescent="0.3">
      <c r="A273" s="21">
        <v>46162</v>
      </c>
      <c r="B273" s="22" t="s">
        <v>111</v>
      </c>
      <c r="C273" s="82"/>
      <c r="D273" s="23"/>
    </row>
    <row r="274" spans="1:4" x14ac:dyDescent="0.3">
      <c r="A274" s="21">
        <v>46162</v>
      </c>
      <c r="B274" s="22" t="s">
        <v>189</v>
      </c>
      <c r="C274" s="82"/>
      <c r="D274" s="23"/>
    </row>
    <row r="275" spans="1:4" x14ac:dyDescent="0.3">
      <c r="A275" s="21">
        <v>46162</v>
      </c>
      <c r="B275" s="22" t="s">
        <v>192</v>
      </c>
      <c r="C275" s="82"/>
      <c r="D275" s="23"/>
    </row>
    <row r="276" spans="1:4" x14ac:dyDescent="0.3">
      <c r="A276" s="21">
        <v>46162</v>
      </c>
      <c r="B276" s="22" t="s">
        <v>202</v>
      </c>
      <c r="C276" s="82"/>
      <c r="D276" s="23"/>
    </row>
    <row r="277" spans="1:4" x14ac:dyDescent="0.3">
      <c r="A277" s="21">
        <v>46162</v>
      </c>
      <c r="B277" s="22" t="s">
        <v>206</v>
      </c>
      <c r="C277" s="82"/>
      <c r="D277" s="23"/>
    </row>
    <row r="278" spans="1:4" x14ac:dyDescent="0.3">
      <c r="A278" s="21">
        <v>46162</v>
      </c>
      <c r="B278" s="22" t="s">
        <v>188</v>
      </c>
      <c r="C278" s="82"/>
      <c r="D278" s="23"/>
    </row>
    <row r="279" spans="1:4" x14ac:dyDescent="0.3">
      <c r="A279" s="21">
        <v>46162</v>
      </c>
      <c r="B279" s="22" t="s">
        <v>207</v>
      </c>
      <c r="C279" s="82"/>
      <c r="D279" s="23"/>
    </row>
    <row r="280" spans="1:4" x14ac:dyDescent="0.3">
      <c r="A280" s="21">
        <v>46162</v>
      </c>
      <c r="B280" s="22" t="s">
        <v>194</v>
      </c>
      <c r="C280" s="82"/>
      <c r="D280" s="23"/>
    </row>
    <row r="281" spans="1:4" x14ac:dyDescent="0.3">
      <c r="A281" s="21">
        <v>46163</v>
      </c>
      <c r="B281" s="22" t="s">
        <v>186</v>
      </c>
      <c r="C281" s="82"/>
      <c r="D281" s="23"/>
    </row>
    <row r="282" spans="1:4" x14ac:dyDescent="0.3">
      <c r="A282" s="21">
        <v>46163</v>
      </c>
      <c r="B282" s="22" t="s">
        <v>110</v>
      </c>
      <c r="C282" s="82"/>
      <c r="D282" s="23"/>
    </row>
    <row r="283" spans="1:4" x14ac:dyDescent="0.3">
      <c r="A283" s="21">
        <v>46163</v>
      </c>
      <c r="B283" s="22" t="s">
        <v>69</v>
      </c>
      <c r="C283" s="82"/>
      <c r="D283" s="23"/>
    </row>
    <row r="284" spans="1:4" x14ac:dyDescent="0.3">
      <c r="A284" s="21">
        <v>46163</v>
      </c>
      <c r="B284" s="22" t="s">
        <v>188</v>
      </c>
      <c r="C284" s="82"/>
      <c r="D284" s="23"/>
    </row>
    <row r="285" spans="1:4" x14ac:dyDescent="0.3">
      <c r="A285" s="21">
        <v>46163</v>
      </c>
      <c r="B285" s="22" t="s">
        <v>111</v>
      </c>
      <c r="C285" s="82"/>
      <c r="D285" s="23"/>
    </row>
    <row r="286" spans="1:4" x14ac:dyDescent="0.3">
      <c r="A286" s="21">
        <v>46163</v>
      </c>
      <c r="B286" s="22" t="s">
        <v>189</v>
      </c>
      <c r="C286" s="82"/>
      <c r="D286" s="23"/>
    </row>
    <row r="287" spans="1:4" x14ac:dyDescent="0.3">
      <c r="A287" s="21">
        <v>46163</v>
      </c>
      <c r="B287" s="22" t="s">
        <v>192</v>
      </c>
      <c r="C287" s="82"/>
      <c r="D287" s="23"/>
    </row>
    <row r="288" spans="1:4" x14ac:dyDescent="0.3">
      <c r="A288" s="21">
        <v>46163</v>
      </c>
      <c r="B288" s="22" t="s">
        <v>194</v>
      </c>
      <c r="C288" s="82"/>
      <c r="D288" s="23"/>
    </row>
    <row r="289" spans="1:4" x14ac:dyDescent="0.3">
      <c r="A289" s="21">
        <v>46163</v>
      </c>
      <c r="B289" s="22" t="s">
        <v>197</v>
      </c>
      <c r="C289" s="82"/>
      <c r="D289" s="23"/>
    </row>
    <row r="290" spans="1:4" x14ac:dyDescent="0.3">
      <c r="A290" s="21">
        <v>46164</v>
      </c>
      <c r="B290" s="22" t="s">
        <v>186</v>
      </c>
      <c r="C290" s="82"/>
      <c r="D290" s="23"/>
    </row>
    <row r="291" spans="1:4" x14ac:dyDescent="0.3">
      <c r="A291" s="21">
        <v>46164</v>
      </c>
      <c r="B291" s="22" t="s">
        <v>198</v>
      </c>
      <c r="C291" s="82"/>
      <c r="D291" s="23"/>
    </row>
    <row r="292" spans="1:4" x14ac:dyDescent="0.3">
      <c r="A292" s="21">
        <v>46164</v>
      </c>
      <c r="B292" s="22" t="s">
        <v>189</v>
      </c>
      <c r="C292" s="82"/>
      <c r="D292" s="23"/>
    </row>
    <row r="293" spans="1:4" x14ac:dyDescent="0.3">
      <c r="A293" s="21">
        <v>46164</v>
      </c>
      <c r="B293" s="22" t="s">
        <v>188</v>
      </c>
      <c r="C293" s="82"/>
      <c r="D293" s="23"/>
    </row>
    <row r="294" spans="1:4" x14ac:dyDescent="0.3">
      <c r="A294" s="21">
        <v>46164</v>
      </c>
      <c r="B294" s="22" t="s">
        <v>111</v>
      </c>
      <c r="C294" s="82"/>
      <c r="D294" s="23"/>
    </row>
    <row r="295" spans="1:4" x14ac:dyDescent="0.3">
      <c r="A295" s="21">
        <v>46164</v>
      </c>
      <c r="B295" s="22" t="s">
        <v>202</v>
      </c>
      <c r="C295" s="82"/>
      <c r="D295" s="23"/>
    </row>
    <row r="296" spans="1:4" x14ac:dyDescent="0.3">
      <c r="A296" s="21">
        <v>46164</v>
      </c>
      <c r="B296" s="22" t="s">
        <v>208</v>
      </c>
      <c r="C296" s="82"/>
      <c r="D296" s="23"/>
    </row>
    <row r="297" spans="1:4" x14ac:dyDescent="0.3">
      <c r="A297" s="21">
        <v>46164</v>
      </c>
      <c r="B297" s="22" t="s">
        <v>191</v>
      </c>
      <c r="C297" s="82"/>
      <c r="D297" s="23"/>
    </row>
    <row r="298" spans="1:4" x14ac:dyDescent="0.3">
      <c r="A298" s="21">
        <v>46164</v>
      </c>
      <c r="B298" s="22" t="s">
        <v>191</v>
      </c>
      <c r="C298" s="82"/>
      <c r="D298" s="23"/>
    </row>
    <row r="299" spans="1:4" x14ac:dyDescent="0.3">
      <c r="A299" s="21">
        <v>46164</v>
      </c>
      <c r="B299" s="22" t="s">
        <v>209</v>
      </c>
      <c r="C299" s="82"/>
      <c r="D299" s="23"/>
    </row>
    <row r="300" spans="1:4" x14ac:dyDescent="0.3">
      <c r="A300" s="21">
        <v>46164</v>
      </c>
      <c r="B300" s="22" t="s">
        <v>192</v>
      </c>
      <c r="C300" s="82"/>
      <c r="D300" s="23"/>
    </row>
    <row r="301" spans="1:4" x14ac:dyDescent="0.3">
      <c r="A301" s="21">
        <v>46164</v>
      </c>
      <c r="B301" s="22" t="s">
        <v>68</v>
      </c>
      <c r="C301" s="82"/>
      <c r="D301" s="23"/>
    </row>
    <row r="302" spans="1:4" x14ac:dyDescent="0.3">
      <c r="A302" s="21">
        <v>46164</v>
      </c>
      <c r="B302" s="22" t="s">
        <v>194</v>
      </c>
      <c r="C302" s="82"/>
      <c r="D302" s="23"/>
    </row>
    <row r="303" spans="1:4" x14ac:dyDescent="0.3">
      <c r="A303" s="21">
        <v>46167</v>
      </c>
      <c r="B303" s="22" t="s">
        <v>186</v>
      </c>
      <c r="C303" s="82"/>
      <c r="D303" s="23"/>
    </row>
    <row r="304" spans="1:4" x14ac:dyDescent="0.3">
      <c r="A304" s="21">
        <v>46167</v>
      </c>
      <c r="B304" s="22" t="s">
        <v>200</v>
      </c>
      <c r="C304" s="82"/>
      <c r="D304" s="23"/>
    </row>
    <row r="305" spans="1:4" x14ac:dyDescent="0.3">
      <c r="A305" s="21">
        <v>46167</v>
      </c>
      <c r="B305" s="22" t="s">
        <v>202</v>
      </c>
      <c r="C305" s="82"/>
      <c r="D305" s="23"/>
    </row>
    <row r="306" spans="1:4" x14ac:dyDescent="0.3">
      <c r="A306" s="21">
        <v>46167</v>
      </c>
      <c r="B306" s="22" t="s">
        <v>66</v>
      </c>
      <c r="C306" s="82"/>
      <c r="D306" s="23"/>
    </row>
    <row r="307" spans="1:4" x14ac:dyDescent="0.3">
      <c r="A307" s="21">
        <v>46167</v>
      </c>
      <c r="B307" s="22" t="s">
        <v>189</v>
      </c>
      <c r="C307" s="82"/>
      <c r="D307" s="23"/>
    </row>
    <row r="308" spans="1:4" x14ac:dyDescent="0.3">
      <c r="A308" s="21">
        <v>46167</v>
      </c>
      <c r="B308" s="22" t="s">
        <v>188</v>
      </c>
      <c r="C308" s="82"/>
      <c r="D308" s="23"/>
    </row>
    <row r="309" spans="1:4" x14ac:dyDescent="0.3">
      <c r="A309" s="21">
        <v>46167</v>
      </c>
      <c r="B309" s="22" t="s">
        <v>201</v>
      </c>
      <c r="C309" s="82"/>
      <c r="D309" s="23"/>
    </row>
    <row r="310" spans="1:4" x14ac:dyDescent="0.3">
      <c r="A310" s="21">
        <v>46167</v>
      </c>
      <c r="B310" s="22" t="s">
        <v>81</v>
      </c>
      <c r="C310" s="82"/>
      <c r="D310" s="23"/>
    </row>
    <row r="311" spans="1:4" x14ac:dyDescent="0.3">
      <c r="A311" s="21">
        <v>46167</v>
      </c>
      <c r="B311" s="22" t="s">
        <v>210</v>
      </c>
      <c r="C311" s="82"/>
      <c r="D311" s="23"/>
    </row>
    <row r="312" spans="1:4" x14ac:dyDescent="0.3">
      <c r="A312" s="21">
        <v>46167</v>
      </c>
      <c r="B312" s="22" t="s">
        <v>194</v>
      </c>
      <c r="C312" s="82"/>
      <c r="D312" s="23"/>
    </row>
    <row r="313" spans="1:4" x14ac:dyDescent="0.3">
      <c r="A313" s="21">
        <v>46167</v>
      </c>
      <c r="B313" s="22" t="s">
        <v>196</v>
      </c>
      <c r="C313" s="82"/>
      <c r="D313" s="23"/>
    </row>
    <row r="314" spans="1:4" x14ac:dyDescent="0.3">
      <c r="A314" s="96">
        <v>46167</v>
      </c>
      <c r="B314" s="112" t="s">
        <v>211</v>
      </c>
      <c r="C314" s="97"/>
      <c r="D314" s="23"/>
    </row>
    <row r="315" spans="1:4" x14ac:dyDescent="0.3">
      <c r="A315" s="21">
        <v>46168</v>
      </c>
      <c r="B315" s="22" t="s">
        <v>186</v>
      </c>
      <c r="C315" s="82"/>
      <c r="D315" s="23"/>
    </row>
    <row r="316" spans="1:4" x14ac:dyDescent="0.3">
      <c r="A316" s="21">
        <v>46168</v>
      </c>
      <c r="B316" s="22" t="s">
        <v>110</v>
      </c>
      <c r="C316" s="82"/>
      <c r="D316" s="23"/>
    </row>
    <row r="317" spans="1:4" x14ac:dyDescent="0.3">
      <c r="A317" s="21">
        <v>46168</v>
      </c>
      <c r="B317" s="22" t="s">
        <v>198</v>
      </c>
      <c r="C317" s="82"/>
      <c r="D317" s="23"/>
    </row>
    <row r="318" spans="1:4" x14ac:dyDescent="0.3">
      <c r="A318" s="21">
        <v>46168</v>
      </c>
      <c r="B318" s="22" t="s">
        <v>111</v>
      </c>
      <c r="C318" s="82"/>
      <c r="D318" s="23"/>
    </row>
    <row r="319" spans="1:4" x14ac:dyDescent="0.3">
      <c r="A319" s="21">
        <v>46168</v>
      </c>
      <c r="B319" s="22" t="s">
        <v>188</v>
      </c>
      <c r="C319" s="82"/>
      <c r="D319" s="23"/>
    </row>
    <row r="320" spans="1:4" x14ac:dyDescent="0.3">
      <c r="A320" s="96">
        <v>46168</v>
      </c>
      <c r="B320" s="112" t="s">
        <v>212</v>
      </c>
      <c r="C320" s="97"/>
      <c r="D320" s="23"/>
    </row>
    <row r="321" spans="1:4" x14ac:dyDescent="0.3">
      <c r="A321" s="21">
        <v>46168</v>
      </c>
      <c r="B321" s="22" t="s">
        <v>192</v>
      </c>
      <c r="C321" s="82"/>
      <c r="D321" s="23"/>
    </row>
    <row r="322" spans="1:4" x14ac:dyDescent="0.3">
      <c r="A322" s="21">
        <v>46168</v>
      </c>
      <c r="B322" s="22" t="s">
        <v>194</v>
      </c>
      <c r="C322" s="82"/>
      <c r="D322" s="23"/>
    </row>
    <row r="323" spans="1:4" x14ac:dyDescent="0.3">
      <c r="A323" s="21">
        <v>46168</v>
      </c>
      <c r="B323" s="22" t="s">
        <v>189</v>
      </c>
      <c r="C323" s="82"/>
      <c r="D323" s="23"/>
    </row>
    <row r="324" spans="1:4" x14ac:dyDescent="0.3">
      <c r="A324" s="21"/>
      <c r="B324" s="22" t="s">
        <v>196</v>
      </c>
      <c r="C324" s="82"/>
      <c r="D324" s="23"/>
    </row>
    <row r="325" spans="1:4" x14ac:dyDescent="0.3">
      <c r="A325" s="21"/>
      <c r="B325" s="22"/>
      <c r="C325" s="82"/>
      <c r="D325" s="23"/>
    </row>
    <row r="326" spans="1:4" x14ac:dyDescent="0.3">
      <c r="A326" s="21"/>
      <c r="B326" s="22"/>
      <c r="C326" s="82"/>
      <c r="D326" s="23"/>
    </row>
    <row r="327" spans="1:4" x14ac:dyDescent="0.3">
      <c r="A327" s="21"/>
      <c r="B327" s="22"/>
      <c r="C327" s="82"/>
      <c r="D327" s="23"/>
    </row>
    <row r="328" spans="1:4" x14ac:dyDescent="0.3">
      <c r="A328" s="21"/>
      <c r="B328" s="22"/>
      <c r="C328" s="82"/>
      <c r="D328" s="23"/>
    </row>
    <row r="329" spans="1:4" x14ac:dyDescent="0.3">
      <c r="A329" s="21"/>
      <c r="B329" s="22"/>
      <c r="C329" s="82"/>
      <c r="D329" s="23"/>
    </row>
    <row r="330" spans="1:4" x14ac:dyDescent="0.3">
      <c r="A330" s="21"/>
      <c r="B330" s="22"/>
      <c r="C330" s="82"/>
      <c r="D330" s="23"/>
    </row>
    <row r="331" spans="1:4" x14ac:dyDescent="0.3">
      <c r="A331" s="21"/>
      <c r="B331" s="22"/>
      <c r="C331" s="82"/>
      <c r="D331" s="23"/>
    </row>
    <row r="332" spans="1:4" x14ac:dyDescent="0.3">
      <c r="A332" s="21"/>
      <c r="B332" s="22"/>
      <c r="C332" s="82"/>
      <c r="D332" s="23"/>
    </row>
    <row r="333" spans="1:4" x14ac:dyDescent="0.3">
      <c r="A333" s="21"/>
      <c r="B333" s="22"/>
      <c r="C333" s="82"/>
      <c r="D333" s="23"/>
    </row>
    <row r="334" spans="1:4" x14ac:dyDescent="0.3">
      <c r="A334" s="21"/>
      <c r="B334" s="22"/>
      <c r="C334" s="82"/>
      <c r="D334" s="23"/>
    </row>
    <row r="335" spans="1:4" x14ac:dyDescent="0.3">
      <c r="A335" s="21"/>
      <c r="B335" s="22"/>
      <c r="C335" s="82"/>
      <c r="D335" s="23"/>
    </row>
    <row r="336" spans="1:4" x14ac:dyDescent="0.3">
      <c r="A336" s="21"/>
      <c r="B336" s="22"/>
      <c r="C336" s="82"/>
      <c r="D336" s="23"/>
    </row>
    <row r="337" spans="1:6" x14ac:dyDescent="0.3">
      <c r="A337" s="21"/>
      <c r="B337" s="22"/>
      <c r="C337" s="82"/>
      <c r="D337" s="23"/>
    </row>
    <row r="338" spans="1:6" x14ac:dyDescent="0.3">
      <c r="A338" s="21"/>
      <c r="B338" s="22"/>
      <c r="C338" s="82"/>
      <c r="D338" s="23"/>
    </row>
    <row r="339" spans="1:6" x14ac:dyDescent="0.3">
      <c r="A339" s="21"/>
      <c r="B339" s="22"/>
      <c r="C339" s="82"/>
      <c r="D339" s="23"/>
    </row>
    <row r="340" spans="1:6" x14ac:dyDescent="0.3">
      <c r="A340" s="21"/>
      <c r="B340" s="22"/>
      <c r="C340" s="82"/>
      <c r="D340" s="23"/>
    </row>
    <row r="341" spans="1:6" ht="17.399999999999999" x14ac:dyDescent="0.3">
      <c r="A341" s="25"/>
      <c r="B341" s="26" t="s">
        <v>70</v>
      </c>
      <c r="C341" s="51">
        <f>SUM(C149:C340)</f>
        <v>0</v>
      </c>
      <c r="D341" s="28">
        <f>C54+C143</f>
        <v>0</v>
      </c>
      <c r="E341" s="24">
        <f>C341-D341</f>
        <v>0</v>
      </c>
      <c r="F341" s="41">
        <f>C54+D54+C143+D143</f>
        <v>0</v>
      </c>
    </row>
    <row r="344" spans="1:6" x14ac:dyDescent="0.3">
      <c r="C344" s="83" t="s">
        <v>71</v>
      </c>
      <c r="D344" s="6" t="s">
        <v>72</v>
      </c>
    </row>
    <row r="345" spans="1:6" ht="17.399999999999999" x14ac:dyDescent="0.3">
      <c r="A345" s="29" t="s">
        <v>73</v>
      </c>
      <c r="B345" s="30"/>
      <c r="C345" s="84">
        <f>C341</f>
        <v>0</v>
      </c>
      <c r="D345" s="31">
        <f>C341-D341</f>
        <v>0</v>
      </c>
    </row>
    <row r="347" spans="1:6" x14ac:dyDescent="0.3">
      <c r="A347"/>
      <c r="B347"/>
      <c r="D347"/>
    </row>
    <row r="348" spans="1:6" x14ac:dyDescent="0.3">
      <c r="A348"/>
      <c r="B348"/>
      <c r="D348"/>
    </row>
    <row r="349" spans="1:6" ht="28.2" x14ac:dyDescent="0.5">
      <c r="A349" s="39" t="s">
        <v>213</v>
      </c>
      <c r="B349" s="39"/>
      <c r="C349" s="85"/>
      <c r="D349" s="1"/>
    </row>
    <row r="350" spans="1:6" ht="28.2" x14ac:dyDescent="0.5">
      <c r="A350" s="1"/>
      <c r="B350" s="1"/>
      <c r="C350" s="75"/>
      <c r="D350" s="1"/>
    </row>
    <row r="351" spans="1:6" ht="17.399999999999999" x14ac:dyDescent="0.3">
      <c r="B351" s="7" t="s">
        <v>74</v>
      </c>
    </row>
    <row r="352" spans="1:6" x14ac:dyDescent="0.3">
      <c r="A352" s="120" t="s">
        <v>1</v>
      </c>
      <c r="B352" s="122" t="s">
        <v>2</v>
      </c>
      <c r="C352" s="124" t="s">
        <v>3</v>
      </c>
      <c r="D352"/>
    </row>
    <row r="353" spans="1:4" x14ac:dyDescent="0.3">
      <c r="A353" s="121"/>
      <c r="B353" s="123"/>
      <c r="C353" s="125"/>
      <c r="D353"/>
    </row>
    <row r="354" spans="1:4" x14ac:dyDescent="0.3">
      <c r="D354" s="10"/>
    </row>
    <row r="355" spans="1:4" x14ac:dyDescent="0.3">
      <c r="A355" s="8">
        <v>46153</v>
      </c>
      <c r="B355" s="9" t="s">
        <v>76</v>
      </c>
      <c r="C355" s="62"/>
      <c r="D355" s="10"/>
    </row>
    <row r="356" spans="1:4" x14ac:dyDescent="0.3">
      <c r="A356" s="8">
        <v>46154</v>
      </c>
      <c r="B356" s="9" t="s">
        <v>77</v>
      </c>
      <c r="C356" s="62"/>
      <c r="D356" s="10"/>
    </row>
    <row r="357" spans="1:4" x14ac:dyDescent="0.3">
      <c r="A357" s="8">
        <v>46157</v>
      </c>
      <c r="B357" s="9" t="s">
        <v>85</v>
      </c>
      <c r="C357" s="62"/>
      <c r="D357" s="10"/>
    </row>
    <row r="358" spans="1:4" x14ac:dyDescent="0.3">
      <c r="A358" s="8">
        <v>46157</v>
      </c>
      <c r="B358" s="9" t="s">
        <v>91</v>
      </c>
      <c r="C358" s="62"/>
      <c r="D358" s="18"/>
    </row>
    <row r="359" spans="1:4" x14ac:dyDescent="0.3">
      <c r="A359" s="8">
        <v>46157</v>
      </c>
      <c r="B359" s="9" t="s">
        <v>90</v>
      </c>
      <c r="C359" s="62"/>
      <c r="D359" s="10"/>
    </row>
    <row r="360" spans="1:4" x14ac:dyDescent="0.3">
      <c r="A360" s="8">
        <v>46157</v>
      </c>
      <c r="B360" s="9" t="s">
        <v>92</v>
      </c>
      <c r="C360" s="62"/>
      <c r="D360" s="10"/>
    </row>
    <row r="361" spans="1:4" x14ac:dyDescent="0.3">
      <c r="A361" s="8">
        <v>46157</v>
      </c>
      <c r="B361" s="9" t="s">
        <v>89</v>
      </c>
      <c r="C361" s="62"/>
      <c r="D361" s="10"/>
    </row>
    <row r="362" spans="1:4" x14ac:dyDescent="0.3">
      <c r="A362" s="8">
        <v>46157</v>
      </c>
      <c r="B362" s="9" t="s">
        <v>33</v>
      </c>
      <c r="C362" s="62"/>
      <c r="D362" s="10"/>
    </row>
    <row r="363" spans="1:4" x14ac:dyDescent="0.3">
      <c r="A363" s="8">
        <v>46157</v>
      </c>
      <c r="B363" s="9" t="s">
        <v>88</v>
      </c>
      <c r="C363" s="62"/>
      <c r="D363" s="10"/>
    </row>
    <row r="364" spans="1:4" x14ac:dyDescent="0.3">
      <c r="A364"/>
      <c r="B364"/>
      <c r="D364"/>
    </row>
    <row r="365" spans="1:4" x14ac:dyDescent="0.3">
      <c r="A365"/>
      <c r="B365"/>
      <c r="C365" s="76">
        <f>SUM(C354:C364)</f>
        <v>0</v>
      </c>
      <c r="D365" s="4">
        <f>SUM(D352:D364)</f>
        <v>0</v>
      </c>
    </row>
    <row r="366" spans="1:4" x14ac:dyDescent="0.3">
      <c r="A366"/>
      <c r="B366"/>
      <c r="D366"/>
    </row>
    <row r="368" spans="1:4" x14ac:dyDescent="0.3">
      <c r="A368" s="11" t="s">
        <v>41</v>
      </c>
      <c r="B368" s="12"/>
      <c r="C368" s="77" t="s">
        <v>42</v>
      </c>
      <c r="D368" s="13"/>
    </row>
    <row r="369" spans="1:4" x14ac:dyDescent="0.3">
      <c r="A369" s="14" t="s">
        <v>43</v>
      </c>
      <c r="B369" s="15" t="s">
        <v>44</v>
      </c>
      <c r="C369" s="78"/>
      <c r="D369" s="13"/>
    </row>
    <row r="370" spans="1:4" ht="17.399999999999999" x14ac:dyDescent="0.3">
      <c r="B370" s="7" t="s">
        <v>78</v>
      </c>
      <c r="C370" s="74"/>
      <c r="D370"/>
    </row>
    <row r="371" spans="1:4" x14ac:dyDescent="0.3">
      <c r="A371" s="16">
        <v>46146</v>
      </c>
      <c r="B371" s="17" t="s">
        <v>214</v>
      </c>
      <c r="C371" s="62"/>
      <c r="D371" s="10"/>
    </row>
    <row r="372" spans="1:4" x14ac:dyDescent="0.3">
      <c r="A372" s="16">
        <v>46146</v>
      </c>
      <c r="B372" s="17" t="s">
        <v>215</v>
      </c>
      <c r="C372" s="62"/>
      <c r="D372" s="10"/>
    </row>
    <row r="373" spans="1:4" x14ac:dyDescent="0.3">
      <c r="A373" s="16">
        <v>46146</v>
      </c>
      <c r="B373" s="17" t="s">
        <v>216</v>
      </c>
      <c r="C373" s="62"/>
      <c r="D373" s="10"/>
    </row>
    <row r="374" spans="1:4" x14ac:dyDescent="0.3">
      <c r="A374" s="16">
        <v>46146</v>
      </c>
      <c r="B374" s="17" t="s">
        <v>217</v>
      </c>
      <c r="C374" s="62"/>
      <c r="D374" s="10"/>
    </row>
    <row r="375" spans="1:4" x14ac:dyDescent="0.3">
      <c r="A375" s="16">
        <v>46146</v>
      </c>
      <c r="B375" s="17" t="s">
        <v>218</v>
      </c>
      <c r="C375" s="62"/>
      <c r="D375" s="10"/>
    </row>
    <row r="376" spans="1:4" x14ac:dyDescent="0.3">
      <c r="A376" s="16">
        <v>46146</v>
      </c>
      <c r="B376" s="17" t="s">
        <v>219</v>
      </c>
      <c r="C376" s="62"/>
      <c r="D376" s="10"/>
    </row>
    <row r="377" spans="1:4" x14ac:dyDescent="0.3">
      <c r="A377" s="16">
        <v>46146</v>
      </c>
      <c r="B377" s="17" t="s">
        <v>220</v>
      </c>
      <c r="C377" s="62"/>
      <c r="D377" s="10"/>
    </row>
    <row r="378" spans="1:4" x14ac:dyDescent="0.3">
      <c r="A378" s="16">
        <v>46148</v>
      </c>
      <c r="B378" s="17" t="s">
        <v>4</v>
      </c>
      <c r="C378" s="62"/>
      <c r="D378" s="10"/>
    </row>
    <row r="379" spans="1:4" x14ac:dyDescent="0.3">
      <c r="A379" s="16">
        <v>46148</v>
      </c>
      <c r="B379" s="17" t="s">
        <v>5</v>
      </c>
      <c r="C379" s="62"/>
      <c r="D379" s="10"/>
    </row>
    <row r="380" spans="1:4" x14ac:dyDescent="0.3">
      <c r="A380" s="16">
        <v>46148</v>
      </c>
      <c r="B380" s="17" t="s">
        <v>6</v>
      </c>
      <c r="C380" s="62"/>
      <c r="D380" s="10"/>
    </row>
    <row r="381" spans="1:4" x14ac:dyDescent="0.3">
      <c r="A381" s="16">
        <v>46148</v>
      </c>
      <c r="B381" s="17" t="s">
        <v>7</v>
      </c>
      <c r="C381" s="62"/>
      <c r="D381" s="10"/>
    </row>
    <row r="382" spans="1:4" x14ac:dyDescent="0.3">
      <c r="A382" s="16" t="s">
        <v>221</v>
      </c>
      <c r="B382" s="17" t="s">
        <v>21</v>
      </c>
      <c r="C382" s="62"/>
      <c r="D382" s="10"/>
    </row>
    <row r="383" spans="1:4" x14ac:dyDescent="0.3">
      <c r="A383" s="16">
        <v>46148</v>
      </c>
      <c r="B383" s="17" t="s">
        <v>222</v>
      </c>
      <c r="C383" s="62"/>
      <c r="D383" s="10"/>
    </row>
    <row r="384" spans="1:4" x14ac:dyDescent="0.3">
      <c r="A384" s="16">
        <v>46148</v>
      </c>
      <c r="B384" s="17" t="s">
        <v>223</v>
      </c>
      <c r="C384" s="62"/>
      <c r="D384" s="10"/>
    </row>
    <row r="385" spans="1:4" x14ac:dyDescent="0.3">
      <c r="A385" s="16">
        <v>46150</v>
      </c>
      <c r="B385" s="17" t="s">
        <v>53</v>
      </c>
      <c r="C385" s="62"/>
      <c r="D385" s="10"/>
    </row>
    <row r="386" spans="1:4" x14ac:dyDescent="0.3">
      <c r="A386" s="16">
        <v>46148</v>
      </c>
      <c r="B386" s="17" t="s">
        <v>224</v>
      </c>
      <c r="C386" s="62"/>
      <c r="D386" s="10"/>
    </row>
    <row r="387" spans="1:4" x14ac:dyDescent="0.3">
      <c r="A387" s="16">
        <v>46148</v>
      </c>
      <c r="B387" s="17" t="s">
        <v>225</v>
      </c>
      <c r="C387" s="62"/>
      <c r="D387" s="10"/>
    </row>
    <row r="388" spans="1:4" x14ac:dyDescent="0.3">
      <c r="A388" s="16">
        <v>46148</v>
      </c>
      <c r="B388" s="17" t="s">
        <v>75</v>
      </c>
      <c r="C388" s="62"/>
      <c r="D388" s="10"/>
    </row>
    <row r="390" spans="1:4" ht="17.399999999999999" x14ac:dyDescent="0.3">
      <c r="B390" s="7" t="s">
        <v>57</v>
      </c>
      <c r="D390"/>
    </row>
    <row r="391" spans="1:4" x14ac:dyDescent="0.3">
      <c r="A391" s="16">
        <v>46166</v>
      </c>
      <c r="B391" s="40" t="s">
        <v>226</v>
      </c>
      <c r="C391" s="72"/>
      <c r="D391" s="35"/>
    </row>
    <row r="392" spans="1:4" x14ac:dyDescent="0.3">
      <c r="A392"/>
      <c r="B392"/>
      <c r="D392" s="18"/>
    </row>
    <row r="393" spans="1:4" ht="17.399999999999999" x14ac:dyDescent="0.3">
      <c r="B393" s="7" t="s">
        <v>50</v>
      </c>
      <c r="D393"/>
    </row>
    <row r="394" spans="1:4" x14ac:dyDescent="0.3">
      <c r="A394" s="16"/>
      <c r="B394" s="40"/>
      <c r="C394" s="62"/>
      <c r="D394" s="18"/>
    </row>
    <row r="395" spans="1:4" x14ac:dyDescent="0.3">
      <c r="A395" s="16"/>
      <c r="B395" s="17"/>
      <c r="C395" s="73"/>
      <c r="D395" s="18"/>
    </row>
    <row r="396" spans="1:4" x14ac:dyDescent="0.3">
      <c r="A396"/>
      <c r="B396"/>
      <c r="D396"/>
    </row>
    <row r="397" spans="1:4" ht="17.399999999999999" x14ac:dyDescent="0.3">
      <c r="B397" s="7" t="s">
        <v>80</v>
      </c>
      <c r="C397" s="74"/>
    </row>
    <row r="398" spans="1:4" x14ac:dyDescent="0.3">
      <c r="A398" s="16"/>
      <c r="B398" s="17"/>
      <c r="C398" s="73"/>
      <c r="D398" s="18"/>
    </row>
    <row r="399" spans="1:4" x14ac:dyDescent="0.3">
      <c r="A399"/>
      <c r="B399"/>
      <c r="D399"/>
    </row>
    <row r="400" spans="1:4" x14ac:dyDescent="0.3">
      <c r="A400"/>
      <c r="B400"/>
      <c r="C400" s="76">
        <f>SUM(C370:C399)</f>
        <v>0</v>
      </c>
      <c r="D400" s="4">
        <f>SUM(D368:D399)</f>
        <v>0</v>
      </c>
    </row>
    <row r="401" spans="1:4" x14ac:dyDescent="0.3">
      <c r="A401"/>
      <c r="B401"/>
      <c r="D401" s="32"/>
    </row>
    <row r="402" spans="1:4" x14ac:dyDescent="0.3">
      <c r="A402"/>
      <c r="B402"/>
      <c r="D402"/>
    </row>
    <row r="403" spans="1:4" ht="15" customHeight="1" x14ac:dyDescent="0.3">
      <c r="A403" s="127" t="s">
        <v>61</v>
      </c>
      <c r="B403" s="128"/>
      <c r="C403" s="80"/>
      <c r="D403" s="19"/>
    </row>
    <row r="404" spans="1:4" ht="15.75" customHeight="1" x14ac:dyDescent="0.3">
      <c r="A404" s="129"/>
      <c r="B404" s="130"/>
      <c r="C404" s="81"/>
      <c r="D404" s="20"/>
    </row>
    <row r="405" spans="1:4" x14ac:dyDescent="0.3">
      <c r="A405" s="131" t="s">
        <v>62</v>
      </c>
      <c r="B405" s="131" t="s">
        <v>63</v>
      </c>
      <c r="C405" s="133" t="s">
        <v>64</v>
      </c>
      <c r="D405" s="118" t="s">
        <v>65</v>
      </c>
    </row>
    <row r="406" spans="1:4" ht="15.75" customHeight="1" x14ac:dyDescent="0.3">
      <c r="A406" s="132"/>
      <c r="B406" s="132"/>
      <c r="C406" s="134"/>
      <c r="D406" s="119"/>
    </row>
    <row r="407" spans="1:4" x14ac:dyDescent="0.3">
      <c r="A407" s="21">
        <v>46146</v>
      </c>
      <c r="B407" s="22" t="s">
        <v>111</v>
      </c>
      <c r="C407" s="82"/>
      <c r="D407" s="23"/>
    </row>
    <row r="408" spans="1:4" x14ac:dyDescent="0.3">
      <c r="A408" s="21">
        <v>46147</v>
      </c>
      <c r="B408" s="22" t="s">
        <v>111</v>
      </c>
      <c r="C408" s="82"/>
      <c r="D408" s="23"/>
    </row>
    <row r="409" spans="1:4" x14ac:dyDescent="0.3">
      <c r="A409" s="21">
        <v>46148</v>
      </c>
      <c r="B409" s="22" t="s">
        <v>111</v>
      </c>
      <c r="C409" s="82"/>
      <c r="D409" s="23"/>
    </row>
    <row r="410" spans="1:4" x14ac:dyDescent="0.3">
      <c r="A410" s="21">
        <v>46154</v>
      </c>
      <c r="B410" s="22" t="s">
        <v>100</v>
      </c>
      <c r="C410" s="82"/>
      <c r="D410" s="23"/>
    </row>
    <row r="411" spans="1:4" x14ac:dyDescent="0.3">
      <c r="A411" s="21">
        <v>46154</v>
      </c>
      <c r="B411" s="22" t="s">
        <v>188</v>
      </c>
      <c r="C411" s="82"/>
      <c r="D411" s="23"/>
    </row>
    <row r="412" spans="1:4" x14ac:dyDescent="0.3">
      <c r="A412" s="96">
        <v>46164</v>
      </c>
      <c r="B412" s="98" t="s">
        <v>227</v>
      </c>
      <c r="C412" s="97"/>
      <c r="D412" s="23"/>
    </row>
    <row r="413" spans="1:4" x14ac:dyDescent="0.3">
      <c r="A413" s="21"/>
      <c r="B413" s="22"/>
      <c r="C413" s="82"/>
      <c r="D413" s="23"/>
    </row>
    <row r="414" spans="1:4" x14ac:dyDescent="0.3">
      <c r="A414" s="21"/>
      <c r="B414" s="22"/>
      <c r="C414" s="82"/>
      <c r="D414" s="23"/>
    </row>
    <row r="415" spans="1:4" x14ac:dyDescent="0.3">
      <c r="A415" s="21"/>
      <c r="B415" s="22"/>
      <c r="C415" s="82"/>
      <c r="D415" s="23"/>
    </row>
    <row r="416" spans="1:4" x14ac:dyDescent="0.3">
      <c r="A416" s="21"/>
      <c r="B416" s="22"/>
      <c r="C416" s="82"/>
      <c r="D416" s="23"/>
    </row>
    <row r="417" spans="1:6" x14ac:dyDescent="0.3">
      <c r="A417" s="21"/>
      <c r="B417" s="22"/>
      <c r="C417" s="82"/>
      <c r="D417" s="23"/>
    </row>
    <row r="418" spans="1:6" x14ac:dyDescent="0.3">
      <c r="A418" s="21"/>
      <c r="B418" s="22"/>
      <c r="C418" s="82"/>
      <c r="D418" s="23"/>
    </row>
    <row r="419" spans="1:6" x14ac:dyDescent="0.3">
      <c r="A419" s="21"/>
      <c r="B419" s="22"/>
      <c r="C419" s="82"/>
      <c r="D419" s="23"/>
    </row>
    <row r="420" spans="1:6" x14ac:dyDescent="0.3">
      <c r="A420" s="21"/>
      <c r="B420" s="22"/>
      <c r="C420" s="82"/>
      <c r="D420" s="23"/>
    </row>
    <row r="421" spans="1:6" x14ac:dyDescent="0.3">
      <c r="A421" s="21"/>
      <c r="B421" s="22"/>
      <c r="C421" s="82"/>
      <c r="D421" s="23"/>
    </row>
    <row r="422" spans="1:6" ht="17.399999999999999" x14ac:dyDescent="0.3">
      <c r="A422" s="25"/>
      <c r="B422" s="26" t="s">
        <v>70</v>
      </c>
      <c r="C422" s="51">
        <f>SUM(C407:C421)</f>
        <v>0</v>
      </c>
      <c r="D422" s="28">
        <f>C365+C400</f>
        <v>0</v>
      </c>
      <c r="E422" s="24">
        <f>C422-D422</f>
        <v>0</v>
      </c>
      <c r="F422" s="34">
        <f>C365+D365+C400+D400</f>
        <v>0</v>
      </c>
    </row>
    <row r="425" spans="1:6" x14ac:dyDescent="0.3">
      <c r="C425" s="83" t="s">
        <v>82</v>
      </c>
      <c r="D425" s="6" t="s">
        <v>72</v>
      </c>
      <c r="E425"/>
    </row>
    <row r="426" spans="1:6" ht="17.399999999999999" x14ac:dyDescent="0.3">
      <c r="A426" s="29" t="s">
        <v>73</v>
      </c>
      <c r="B426" s="30"/>
      <c r="C426" s="84">
        <f>C422</f>
        <v>0</v>
      </c>
      <c r="D426" s="31">
        <f>C422-D422</f>
        <v>0</v>
      </c>
      <c r="E426"/>
    </row>
    <row r="427" spans="1:6" x14ac:dyDescent="0.3">
      <c r="A427"/>
      <c r="B427"/>
      <c r="D427"/>
      <c r="E427"/>
    </row>
    <row r="428" spans="1:6" x14ac:dyDescent="0.3">
      <c r="A428"/>
      <c r="B428"/>
      <c r="D428"/>
      <c r="E428"/>
    </row>
    <row r="429" spans="1:6" x14ac:dyDescent="0.3">
      <c r="E429"/>
    </row>
    <row r="430" spans="1:6" ht="28.2" x14ac:dyDescent="0.5">
      <c r="A430" s="137" t="s">
        <v>130</v>
      </c>
      <c r="B430" s="137"/>
      <c r="C430" s="137"/>
      <c r="D430" s="137"/>
      <c r="E430"/>
    </row>
    <row r="431" spans="1:6" ht="28.2" x14ac:dyDescent="0.5">
      <c r="A431" s="1"/>
      <c r="B431" s="1"/>
      <c r="C431" s="42"/>
      <c r="D431" s="1"/>
      <c r="E431"/>
    </row>
    <row r="432" spans="1:6" x14ac:dyDescent="0.3">
      <c r="C432" s="33"/>
      <c r="E432"/>
    </row>
    <row r="433" spans="1:5" ht="17.399999999999999" x14ac:dyDescent="0.3">
      <c r="B433" s="7" t="s">
        <v>112</v>
      </c>
      <c r="C433" s="33"/>
      <c r="E433"/>
    </row>
    <row r="434" spans="1:5" x14ac:dyDescent="0.3">
      <c r="A434" s="120" t="s">
        <v>1</v>
      </c>
      <c r="B434" s="122" t="s">
        <v>113</v>
      </c>
      <c r="C434" s="124" t="s">
        <v>3</v>
      </c>
      <c r="E434"/>
    </row>
    <row r="435" spans="1:5" x14ac:dyDescent="0.3">
      <c r="A435" s="138"/>
      <c r="B435" s="139"/>
      <c r="C435" s="140"/>
      <c r="E435"/>
    </row>
    <row r="436" spans="1:5" x14ac:dyDescent="0.3">
      <c r="A436" s="65">
        <v>46146</v>
      </c>
      <c r="B436" s="64" t="s">
        <v>228</v>
      </c>
      <c r="C436" s="86"/>
      <c r="D436" s="10"/>
      <c r="E436"/>
    </row>
    <row r="437" spans="1:5" x14ac:dyDescent="0.3">
      <c r="A437" s="59">
        <v>46146</v>
      </c>
      <c r="B437" s="63" t="s">
        <v>114</v>
      </c>
      <c r="C437" s="87"/>
      <c r="D437" s="10"/>
      <c r="E437"/>
    </row>
    <row r="438" spans="1:5" x14ac:dyDescent="0.3">
      <c r="A438" s="8">
        <v>46148</v>
      </c>
      <c r="B438" s="9" t="s">
        <v>115</v>
      </c>
      <c r="C438" s="62"/>
      <c r="D438" s="10"/>
      <c r="E438"/>
    </row>
    <row r="439" spans="1:5" x14ac:dyDescent="0.3">
      <c r="A439" s="8">
        <v>46148</v>
      </c>
      <c r="B439" s="9" t="s">
        <v>117</v>
      </c>
      <c r="C439" s="62"/>
      <c r="D439" s="10"/>
      <c r="E439"/>
    </row>
    <row r="440" spans="1:5" x14ac:dyDescent="0.3">
      <c r="A440" s="8">
        <v>46148</v>
      </c>
      <c r="B440" s="9" t="s">
        <v>118</v>
      </c>
      <c r="C440" s="62"/>
      <c r="D440" s="10"/>
      <c r="E440"/>
    </row>
    <row r="441" spans="1:5" x14ac:dyDescent="0.3">
      <c r="A441" s="8">
        <v>46148</v>
      </c>
      <c r="B441" s="9" t="s">
        <v>119</v>
      </c>
      <c r="C441" s="62"/>
      <c r="D441" s="10"/>
      <c r="E441"/>
    </row>
    <row r="442" spans="1:5" x14ac:dyDescent="0.3">
      <c r="A442" s="67">
        <v>46148</v>
      </c>
      <c r="B442" s="9" t="s">
        <v>116</v>
      </c>
      <c r="C442" s="62"/>
      <c r="D442" s="10"/>
      <c r="E442"/>
    </row>
    <row r="443" spans="1:5" x14ac:dyDescent="0.3">
      <c r="A443" s="8">
        <v>46148</v>
      </c>
      <c r="B443" s="9" t="s">
        <v>102</v>
      </c>
      <c r="C443" s="62"/>
      <c r="D443" s="10"/>
      <c r="E443"/>
    </row>
    <row r="444" spans="1:5" x14ac:dyDescent="0.3">
      <c r="A444" s="57">
        <v>46154</v>
      </c>
      <c r="B444" s="58" t="s">
        <v>120</v>
      </c>
      <c r="C444" s="73"/>
      <c r="D444" s="10"/>
      <c r="E444"/>
    </row>
    <row r="445" spans="1:5" x14ac:dyDescent="0.3">
      <c r="A445" s="8">
        <v>46157</v>
      </c>
      <c r="B445" s="9" t="s">
        <v>121</v>
      </c>
      <c r="C445" s="62"/>
      <c r="D445" s="10"/>
      <c r="E445"/>
    </row>
    <row r="446" spans="1:5" x14ac:dyDescent="0.3">
      <c r="A446" s="8">
        <v>46157</v>
      </c>
      <c r="B446" s="9" t="s">
        <v>98</v>
      </c>
      <c r="C446" s="62"/>
      <c r="D446" s="10"/>
      <c r="E446"/>
    </row>
    <row r="447" spans="1:5" x14ac:dyDescent="0.3">
      <c r="A447" s="8">
        <v>46157</v>
      </c>
      <c r="B447" s="9" t="s">
        <v>32</v>
      </c>
      <c r="C447" s="62"/>
      <c r="D447" s="10"/>
      <c r="E447"/>
    </row>
    <row r="448" spans="1:5" x14ac:dyDescent="0.3">
      <c r="A448" s="8">
        <v>46157</v>
      </c>
      <c r="B448" s="9" t="s">
        <v>122</v>
      </c>
      <c r="C448" s="62"/>
      <c r="D448" s="10"/>
      <c r="E448"/>
    </row>
    <row r="449" spans="1:5" x14ac:dyDescent="0.3">
      <c r="A449" s="8">
        <v>46162</v>
      </c>
      <c r="B449" s="9" t="s">
        <v>229</v>
      </c>
      <c r="C449" s="62"/>
      <c r="D449" s="10"/>
      <c r="E449"/>
    </row>
    <row r="450" spans="1:5" x14ac:dyDescent="0.3">
      <c r="A450" s="8">
        <v>46173</v>
      </c>
      <c r="B450" s="9" t="s">
        <v>40</v>
      </c>
      <c r="C450" s="62"/>
      <c r="D450" s="10"/>
      <c r="E450"/>
    </row>
    <row r="451" spans="1:5" x14ac:dyDescent="0.3">
      <c r="A451" s="43"/>
      <c r="B451" s="44"/>
      <c r="C451" s="88"/>
      <c r="D451" s="43"/>
      <c r="E451"/>
    </row>
    <row r="452" spans="1:5" x14ac:dyDescent="0.3">
      <c r="A452" s="103"/>
      <c r="B452" s="104" t="s">
        <v>123</v>
      </c>
      <c r="C452" s="105"/>
      <c r="D452" s="45"/>
      <c r="E452" s="44"/>
    </row>
    <row r="453" spans="1:5" x14ac:dyDescent="0.3">
      <c r="A453" s="92">
        <v>46146</v>
      </c>
      <c r="B453" s="93" t="s">
        <v>230</v>
      </c>
      <c r="C453" s="72"/>
      <c r="D453" s="18"/>
      <c r="E453"/>
    </row>
    <row r="454" spans="1:5" x14ac:dyDescent="0.3">
      <c r="A454" s="92">
        <v>46153</v>
      </c>
      <c r="B454" s="93" t="s">
        <v>231</v>
      </c>
      <c r="C454" s="72"/>
      <c r="D454" s="10"/>
      <c r="E454"/>
    </row>
    <row r="455" spans="1:5" x14ac:dyDescent="0.3">
      <c r="A455" s="92">
        <v>46157</v>
      </c>
      <c r="B455" s="93" t="s">
        <v>232</v>
      </c>
      <c r="C455" s="72"/>
      <c r="D455" s="18"/>
      <c r="E455"/>
    </row>
    <row r="456" spans="1:5" x14ac:dyDescent="0.3">
      <c r="A456" s="92">
        <v>46159</v>
      </c>
      <c r="B456" s="93" t="s">
        <v>49</v>
      </c>
      <c r="C456" s="72"/>
      <c r="D456" s="18"/>
      <c r="E456"/>
    </row>
    <row r="457" spans="1:5" x14ac:dyDescent="0.3">
      <c r="A457" s="92">
        <v>46162</v>
      </c>
      <c r="B457" s="93" t="s">
        <v>233</v>
      </c>
      <c r="C457" s="72"/>
      <c r="D457" s="18"/>
    </row>
    <row r="458" spans="1:5" x14ac:dyDescent="0.3">
      <c r="A458" s="92">
        <v>46162</v>
      </c>
      <c r="B458" s="93" t="s">
        <v>234</v>
      </c>
      <c r="C458" s="72"/>
      <c r="D458" s="18"/>
    </row>
    <row r="459" spans="1:5" x14ac:dyDescent="0.3">
      <c r="A459" s="92">
        <v>46162</v>
      </c>
      <c r="B459" s="93" t="s">
        <v>235</v>
      </c>
      <c r="C459" s="72"/>
      <c r="D459" s="18"/>
    </row>
    <row r="460" spans="1:5" x14ac:dyDescent="0.3">
      <c r="A460" s="92">
        <v>46162</v>
      </c>
      <c r="B460" s="93" t="s">
        <v>236</v>
      </c>
      <c r="C460" s="72"/>
      <c r="D460" s="18"/>
    </row>
    <row r="461" spans="1:5" x14ac:dyDescent="0.3">
      <c r="A461" s="92">
        <v>46162</v>
      </c>
      <c r="B461" s="93" t="s">
        <v>237</v>
      </c>
      <c r="C461" s="72"/>
      <c r="D461" s="18"/>
    </row>
    <row r="462" spans="1:5" x14ac:dyDescent="0.3">
      <c r="A462" s="92">
        <v>46162</v>
      </c>
      <c r="B462" s="93" t="s">
        <v>238</v>
      </c>
      <c r="C462" s="72"/>
      <c r="D462" s="18"/>
    </row>
    <row r="463" spans="1:5" x14ac:dyDescent="0.3">
      <c r="A463" s="92">
        <v>46162</v>
      </c>
      <c r="B463" s="93" t="s">
        <v>239</v>
      </c>
      <c r="C463" s="72"/>
      <c r="D463" s="18"/>
    </row>
    <row r="464" spans="1:5" x14ac:dyDescent="0.3">
      <c r="A464" s="92">
        <v>46162</v>
      </c>
      <c r="B464" s="93" t="s">
        <v>240</v>
      </c>
      <c r="C464" s="72"/>
      <c r="D464" s="18"/>
      <c r="E464"/>
    </row>
    <row r="465" spans="1:5" x14ac:dyDescent="0.3">
      <c r="A465" s="92">
        <v>46164</v>
      </c>
      <c r="B465" s="93" t="s">
        <v>241</v>
      </c>
      <c r="C465" s="72"/>
      <c r="D465" s="10"/>
      <c r="E465"/>
    </row>
    <row r="466" spans="1:5" x14ac:dyDescent="0.3">
      <c r="A466" s="92">
        <v>46167</v>
      </c>
      <c r="B466" s="93" t="s">
        <v>242</v>
      </c>
      <c r="C466" s="72"/>
      <c r="D466" s="18"/>
      <c r="E466"/>
    </row>
    <row r="467" spans="1:5" x14ac:dyDescent="0.3">
      <c r="A467" s="99">
        <v>46167</v>
      </c>
      <c r="B467" s="93" t="s">
        <v>243</v>
      </c>
      <c r="C467" s="110"/>
      <c r="D467" s="18"/>
      <c r="E467"/>
    </row>
    <row r="468" spans="1:5" x14ac:dyDescent="0.3">
      <c r="A468" s="92">
        <v>46172</v>
      </c>
      <c r="B468" s="111" t="s">
        <v>127</v>
      </c>
      <c r="C468" s="72"/>
      <c r="D468" s="18"/>
      <c r="E468" s="44"/>
    </row>
    <row r="469" spans="1:5" x14ac:dyDescent="0.3">
      <c r="A469" s="102"/>
      <c r="B469" s="44"/>
      <c r="C469" s="88"/>
      <c r="D469" s="43"/>
      <c r="E469" s="44"/>
    </row>
    <row r="470" spans="1:5" x14ac:dyDescent="0.3">
      <c r="A470" s="43"/>
      <c r="B470"/>
      <c r="C470" s="46">
        <f>SUM(C436:C469)</f>
        <v>0</v>
      </c>
      <c r="D470" s="47">
        <f>SUM(D434:D469)</f>
        <v>0</v>
      </c>
      <c r="E470" s="44"/>
    </row>
    <row r="471" spans="1:5" x14ac:dyDescent="0.3">
      <c r="B471"/>
      <c r="C471" s="48"/>
      <c r="D471" s="47"/>
      <c r="E471" s="44"/>
    </row>
    <row r="472" spans="1:5" x14ac:dyDescent="0.3">
      <c r="B472"/>
      <c r="C472" s="33"/>
      <c r="D472"/>
      <c r="E472" s="44"/>
    </row>
    <row r="473" spans="1:5" x14ac:dyDescent="0.3">
      <c r="A473"/>
      <c r="B473"/>
      <c r="C473" s="33"/>
      <c r="D473"/>
      <c r="E473" s="44"/>
    </row>
    <row r="474" spans="1:5" ht="17.399999999999999" x14ac:dyDescent="0.3">
      <c r="A474"/>
      <c r="B474" s="70" t="s">
        <v>112</v>
      </c>
      <c r="C474" s="33"/>
      <c r="D474"/>
      <c r="E474" s="44"/>
    </row>
    <row r="475" spans="1:5" x14ac:dyDescent="0.3">
      <c r="A475" s="114" t="s">
        <v>1</v>
      </c>
      <c r="B475" s="114" t="s">
        <v>128</v>
      </c>
      <c r="C475" s="135" t="s">
        <v>244</v>
      </c>
      <c r="D475" s="114" t="s">
        <v>245</v>
      </c>
      <c r="E475" s="44"/>
    </row>
    <row r="476" spans="1:5" x14ac:dyDescent="0.3">
      <c r="A476" s="115"/>
      <c r="B476" s="115"/>
      <c r="C476" s="136"/>
      <c r="D476" s="115"/>
      <c r="E476" s="50"/>
    </row>
    <row r="477" spans="1:5" x14ac:dyDescent="0.3">
      <c r="A477" s="21">
        <v>46146</v>
      </c>
      <c r="B477" s="22" t="s">
        <v>129</v>
      </c>
      <c r="C477" s="49"/>
      <c r="D477" s="71"/>
      <c r="E477" s="50"/>
    </row>
    <row r="478" spans="1:5" x14ac:dyDescent="0.3">
      <c r="A478" s="21">
        <v>46146</v>
      </c>
      <c r="B478" s="22" t="s">
        <v>246</v>
      </c>
      <c r="C478" s="49"/>
      <c r="D478" s="23"/>
      <c r="E478" s="50"/>
    </row>
    <row r="479" spans="1:5" x14ac:dyDescent="0.3">
      <c r="A479" s="21">
        <v>46147</v>
      </c>
      <c r="B479" s="22" t="s">
        <v>246</v>
      </c>
      <c r="C479" s="49"/>
      <c r="D479" s="23"/>
      <c r="E479" s="50"/>
    </row>
    <row r="480" spans="1:5" x14ac:dyDescent="0.3">
      <c r="A480" s="21">
        <v>46148</v>
      </c>
      <c r="B480" s="22" t="s">
        <v>246</v>
      </c>
      <c r="C480" s="49"/>
      <c r="D480" s="23"/>
      <c r="E480" s="50"/>
    </row>
    <row r="481" spans="1:5" x14ac:dyDescent="0.3">
      <c r="A481" s="21">
        <v>46149</v>
      </c>
      <c r="B481" s="22" t="s">
        <v>246</v>
      </c>
      <c r="C481" s="49"/>
      <c r="D481" s="23"/>
      <c r="E481" s="50"/>
    </row>
    <row r="482" spans="1:5" x14ac:dyDescent="0.3">
      <c r="A482" s="21">
        <v>46150</v>
      </c>
      <c r="B482" s="22" t="s">
        <v>246</v>
      </c>
      <c r="C482" s="49"/>
      <c r="D482" s="23"/>
      <c r="E482" s="50"/>
    </row>
    <row r="483" spans="1:5" x14ac:dyDescent="0.3">
      <c r="A483" s="21">
        <v>46153</v>
      </c>
      <c r="B483" s="22" t="s">
        <v>246</v>
      </c>
      <c r="C483" s="49"/>
      <c r="D483" s="23"/>
      <c r="E483" s="50"/>
    </row>
    <row r="484" spans="1:5" x14ac:dyDescent="0.3">
      <c r="A484" s="21">
        <v>46154</v>
      </c>
      <c r="B484" s="22" t="s">
        <v>246</v>
      </c>
      <c r="C484" s="49"/>
      <c r="D484" s="23"/>
      <c r="E484" s="50"/>
    </row>
    <row r="485" spans="1:5" x14ac:dyDescent="0.3">
      <c r="A485" s="21">
        <v>46155</v>
      </c>
      <c r="B485" s="22" t="s">
        <v>247</v>
      </c>
      <c r="C485" s="49"/>
      <c r="D485" s="23"/>
      <c r="E485" s="50"/>
    </row>
    <row r="486" spans="1:5" x14ac:dyDescent="0.3">
      <c r="A486" s="21">
        <v>46155</v>
      </c>
      <c r="B486" s="22" t="s">
        <v>246</v>
      </c>
      <c r="C486" s="49"/>
      <c r="D486" s="23"/>
      <c r="E486" s="50"/>
    </row>
    <row r="487" spans="1:5" x14ac:dyDescent="0.3">
      <c r="A487" s="21">
        <v>46156</v>
      </c>
      <c r="B487" s="22" t="s">
        <v>246</v>
      </c>
      <c r="C487" s="49"/>
      <c r="D487" s="23"/>
      <c r="E487" s="50"/>
    </row>
    <row r="488" spans="1:5" x14ac:dyDescent="0.3">
      <c r="A488" s="21">
        <v>46156</v>
      </c>
      <c r="B488" s="22" t="s">
        <v>248</v>
      </c>
      <c r="C488" s="49"/>
      <c r="D488" s="23"/>
      <c r="E488" s="50"/>
    </row>
    <row r="489" spans="1:5" x14ac:dyDescent="0.3">
      <c r="A489" s="21">
        <v>46157</v>
      </c>
      <c r="B489" s="22" t="s">
        <v>246</v>
      </c>
      <c r="C489" s="49"/>
      <c r="D489" s="23"/>
      <c r="E489" s="50"/>
    </row>
    <row r="490" spans="1:5" x14ac:dyDescent="0.3">
      <c r="A490" s="21">
        <v>46157</v>
      </c>
      <c r="B490" s="22" t="s">
        <v>249</v>
      </c>
      <c r="C490" s="49"/>
      <c r="D490" s="23"/>
      <c r="E490" s="50"/>
    </row>
    <row r="491" spans="1:5" x14ac:dyDescent="0.3">
      <c r="A491" s="21">
        <v>46160</v>
      </c>
      <c r="B491" s="22" t="s">
        <v>246</v>
      </c>
      <c r="C491" s="49"/>
      <c r="D491" s="23"/>
      <c r="E491" s="50"/>
    </row>
    <row r="492" spans="1:5" x14ac:dyDescent="0.3">
      <c r="A492" s="21">
        <v>46161</v>
      </c>
      <c r="B492" s="22" t="s">
        <v>246</v>
      </c>
      <c r="C492" s="49"/>
      <c r="D492" s="23"/>
      <c r="E492" s="50"/>
    </row>
    <row r="493" spans="1:5" x14ac:dyDescent="0.3">
      <c r="A493" s="21">
        <v>46162</v>
      </c>
      <c r="B493" s="22" t="s">
        <v>246</v>
      </c>
      <c r="C493" s="49"/>
      <c r="D493" s="23"/>
      <c r="E493" s="50"/>
    </row>
    <row r="494" spans="1:5" x14ac:dyDescent="0.3">
      <c r="A494" s="21">
        <v>46163</v>
      </c>
      <c r="B494" s="22" t="s">
        <v>246</v>
      </c>
      <c r="C494" s="49"/>
      <c r="D494" s="23"/>
      <c r="E494" s="50"/>
    </row>
    <row r="495" spans="1:5" x14ac:dyDescent="0.3">
      <c r="A495" s="21">
        <v>46163</v>
      </c>
      <c r="B495" s="22" t="s">
        <v>250</v>
      </c>
      <c r="C495" s="49"/>
      <c r="D495" s="23"/>
      <c r="E495" s="50"/>
    </row>
    <row r="496" spans="1:5" x14ac:dyDescent="0.3">
      <c r="A496" s="21">
        <v>46164</v>
      </c>
      <c r="B496" s="22" t="s">
        <v>246</v>
      </c>
      <c r="C496" s="49"/>
      <c r="D496" s="23"/>
      <c r="E496" s="50"/>
    </row>
    <row r="497" spans="1:5" x14ac:dyDescent="0.3">
      <c r="A497" s="21">
        <v>46167</v>
      </c>
      <c r="B497" s="22" t="s">
        <v>246</v>
      </c>
      <c r="C497" s="49"/>
      <c r="D497" s="23"/>
      <c r="E497" s="50"/>
    </row>
    <row r="498" spans="1:5" x14ac:dyDescent="0.3">
      <c r="A498" s="21">
        <v>46167</v>
      </c>
      <c r="B498" s="22" t="s">
        <v>251</v>
      </c>
      <c r="C498" s="49"/>
      <c r="D498" s="23"/>
      <c r="E498" s="50"/>
    </row>
    <row r="499" spans="1:5" x14ac:dyDescent="0.3">
      <c r="A499" s="96">
        <v>46167</v>
      </c>
      <c r="B499" s="112" t="s">
        <v>252</v>
      </c>
      <c r="C499" s="113"/>
      <c r="D499" s="23"/>
      <c r="E499" s="50"/>
    </row>
    <row r="500" spans="1:5" x14ac:dyDescent="0.3">
      <c r="A500" s="21">
        <v>46168</v>
      </c>
      <c r="B500" s="22" t="s">
        <v>246</v>
      </c>
      <c r="C500" s="49"/>
      <c r="D500" s="23"/>
      <c r="E500" s="50"/>
    </row>
    <row r="501" spans="1:5" x14ac:dyDescent="0.3">
      <c r="A501" s="21">
        <v>46168</v>
      </c>
      <c r="B501" s="22" t="s">
        <v>250</v>
      </c>
      <c r="C501" s="49"/>
      <c r="D501" s="23"/>
      <c r="E501" s="50"/>
    </row>
    <row r="502" spans="1:5" x14ac:dyDescent="0.3">
      <c r="A502" s="21"/>
      <c r="B502" s="22"/>
      <c r="C502" s="49"/>
      <c r="D502" s="23"/>
      <c r="E502" s="50"/>
    </row>
    <row r="503" spans="1:5" x14ac:dyDescent="0.3">
      <c r="A503" s="21"/>
      <c r="B503" s="22"/>
      <c r="C503" s="49"/>
      <c r="D503" s="23"/>
      <c r="E503" s="50"/>
    </row>
    <row r="504" spans="1:5" x14ac:dyDescent="0.3">
      <c r="A504" s="21"/>
      <c r="B504" s="22"/>
      <c r="C504" s="49"/>
      <c r="D504" s="23"/>
      <c r="E504" s="50"/>
    </row>
    <row r="505" spans="1:5" x14ac:dyDescent="0.3">
      <c r="A505" s="21"/>
      <c r="B505" s="22"/>
      <c r="C505" s="49"/>
      <c r="D505" s="23"/>
      <c r="E505" s="50"/>
    </row>
    <row r="506" spans="1:5" x14ac:dyDescent="0.3">
      <c r="A506" s="21"/>
      <c r="B506" s="22"/>
      <c r="C506" s="49"/>
      <c r="D506" s="23"/>
      <c r="E506" s="50"/>
    </row>
    <row r="507" spans="1:5" x14ac:dyDescent="0.3">
      <c r="A507" s="21"/>
      <c r="B507" s="22"/>
      <c r="C507" s="49"/>
      <c r="D507" s="23"/>
      <c r="E507" s="50"/>
    </row>
    <row r="508" spans="1:5" x14ac:dyDescent="0.3">
      <c r="A508" s="21"/>
      <c r="B508" s="22"/>
      <c r="C508" s="49"/>
      <c r="D508" s="23"/>
      <c r="E508" s="50"/>
    </row>
    <row r="509" spans="1:5" x14ac:dyDescent="0.3">
      <c r="A509" s="21"/>
      <c r="B509" s="22"/>
      <c r="C509" s="49"/>
      <c r="D509" s="23"/>
      <c r="E509"/>
    </row>
    <row r="510" spans="1:5" x14ac:dyDescent="0.3">
      <c r="A510" s="21"/>
      <c r="B510" s="22"/>
      <c r="C510" s="49"/>
      <c r="D510" s="23"/>
      <c r="E510"/>
    </row>
    <row r="511" spans="1:5" x14ac:dyDescent="0.3">
      <c r="A511" s="21"/>
      <c r="B511" s="22"/>
      <c r="C511" s="49"/>
      <c r="D511" s="23"/>
      <c r="E511"/>
    </row>
    <row r="512" spans="1:5" x14ac:dyDescent="0.3">
      <c r="A512" s="21"/>
      <c r="B512" s="22"/>
      <c r="C512" s="49"/>
      <c r="D512" s="23"/>
      <c r="E512"/>
    </row>
    <row r="513" spans="1:6" x14ac:dyDescent="0.3">
      <c r="A513" s="21"/>
      <c r="B513" s="22"/>
      <c r="C513" s="49"/>
      <c r="D513" s="23"/>
      <c r="E513"/>
    </row>
    <row r="514" spans="1:6" x14ac:dyDescent="0.3">
      <c r="A514" s="21"/>
      <c r="B514" s="27"/>
      <c r="C514" s="51">
        <f>SUM(C477:C513)</f>
        <v>0</v>
      </c>
      <c r="D514" s="28">
        <f>C470</f>
        <v>0</v>
      </c>
      <c r="E514"/>
      <c r="F514" s="55">
        <f>C470+D470</f>
        <v>0</v>
      </c>
    </row>
    <row r="515" spans="1:6" x14ac:dyDescent="0.3">
      <c r="A515"/>
      <c r="C515" s="33"/>
      <c r="D515"/>
      <c r="E515"/>
    </row>
    <row r="516" spans="1:6" x14ac:dyDescent="0.3">
      <c r="A516"/>
      <c r="C516" s="33"/>
      <c r="D516"/>
      <c r="E516"/>
    </row>
    <row r="517" spans="1:6" ht="17.399999999999999" x14ac:dyDescent="0.3">
      <c r="A517"/>
      <c r="B517" s="26" t="s">
        <v>70</v>
      </c>
      <c r="C517" s="52">
        <f>C514-C470</f>
        <v>0</v>
      </c>
      <c r="D517"/>
      <c r="E517"/>
    </row>
    <row r="518" spans="1:6" x14ac:dyDescent="0.3">
      <c r="A518"/>
      <c r="B518"/>
      <c r="C518" s="33"/>
      <c r="D518"/>
      <c r="E518"/>
    </row>
  </sheetData>
  <mergeCells count="26">
    <mergeCell ref="D405:D406"/>
    <mergeCell ref="A430:D430"/>
    <mergeCell ref="A434:A435"/>
    <mergeCell ref="B434:B435"/>
    <mergeCell ref="C434:C435"/>
    <mergeCell ref="C352:C353"/>
    <mergeCell ref="A403:B404"/>
    <mergeCell ref="A405:A406"/>
    <mergeCell ref="B405:B406"/>
    <mergeCell ref="C405:C406"/>
    <mergeCell ref="A475:A476"/>
    <mergeCell ref="A56:B56"/>
    <mergeCell ref="D147:D148"/>
    <mergeCell ref="A3:A4"/>
    <mergeCell ref="B3:B4"/>
    <mergeCell ref="C3:C4"/>
    <mergeCell ref="A121:B121"/>
    <mergeCell ref="A145:B146"/>
    <mergeCell ref="A147:A148"/>
    <mergeCell ref="B147:B148"/>
    <mergeCell ref="C147:C148"/>
    <mergeCell ref="B475:B476"/>
    <mergeCell ref="C475:C476"/>
    <mergeCell ref="D475:D476"/>
    <mergeCell ref="A352:A353"/>
    <mergeCell ref="B352:B35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Maio 2.026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MX Seguros</dc:creator>
  <cp:keywords/>
  <dc:description/>
  <cp:lastModifiedBy>Rodrigo Formigari</cp:lastModifiedBy>
  <cp:revision/>
  <dcterms:created xsi:type="dcterms:W3CDTF">2023-10-13T14:38:24Z</dcterms:created>
  <dcterms:modified xsi:type="dcterms:W3CDTF">2026-05-26T22:18:22Z</dcterms:modified>
  <cp:category/>
  <cp:contentStatus/>
</cp:coreProperties>
</file>